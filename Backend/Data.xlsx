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a80aa4daf9ff9bd/UP/Y4/S2/BFB321/Code/BFB321_Group_Project_13/Backend/"/>
    </mc:Choice>
  </mc:AlternateContent>
  <xr:revisionPtr revIDLastSave="67" documentId="11_F25DC773A252ABDACC104895C19E7EF25ADE58E7" xr6:coauthVersionLast="47" xr6:coauthVersionMax="47" xr10:uidLastSave="{C08BCE3F-AFD7-4FFE-94CD-F08E5497ACF6}"/>
  <bookViews>
    <workbookView xWindow="-110" yWindow="-110" windowWidth="25820" windowHeight="13900" activeTab="1" xr2:uid="{00000000-000D-0000-FFFF-FFFF00000000}"/>
  </bookViews>
  <sheets>
    <sheet name="Inventory" sheetId="1" r:id="rId1"/>
    <sheet name="S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  <c r="O2" i="2" a="1"/>
  <c r="O2" i="2" s="1"/>
  <c r="M2" i="2" a="1"/>
  <c r="N50" i="2" s="1"/>
  <c r="I2" i="1" a="1"/>
  <c r="I2" i="1" s="1"/>
  <c r="G2" i="1" a="1"/>
  <c r="G2" i="1" s="1"/>
  <c r="H2" i="1" s="1"/>
  <c r="A50" i="2" l="1"/>
  <c r="N28" i="2"/>
  <c r="A28" i="2" s="1"/>
  <c r="N29" i="2"/>
  <c r="A29" i="2" s="1"/>
  <c r="N46" i="2"/>
  <c r="A46" i="2" s="1"/>
  <c r="N17" i="2"/>
  <c r="A17" i="2" s="1"/>
  <c r="N19" i="2"/>
  <c r="A19" i="2" s="1"/>
  <c r="N35" i="2"/>
  <c r="A35" i="2" s="1"/>
  <c r="N36" i="2"/>
  <c r="A36" i="2" s="1"/>
  <c r="N5" i="2"/>
  <c r="A5" i="2" s="1"/>
  <c r="N21" i="2"/>
  <c r="A21" i="2" s="1"/>
  <c r="N37" i="2"/>
  <c r="A37" i="2" s="1"/>
  <c r="N10" i="2"/>
  <c r="A10" i="2" s="1"/>
  <c r="N26" i="2"/>
  <c r="A26" i="2" s="1"/>
  <c r="N42" i="2"/>
  <c r="A42" i="2" s="1"/>
  <c r="N11" i="2"/>
  <c r="A11" i="2" s="1"/>
  <c r="N27" i="2"/>
  <c r="A27" i="2" s="1"/>
  <c r="N43" i="2"/>
  <c r="A43" i="2" s="1"/>
  <c r="N12" i="2"/>
  <c r="A12" i="2" s="1"/>
  <c r="N44" i="2"/>
  <c r="A44" i="2" s="1"/>
  <c r="N13" i="2"/>
  <c r="A13" i="2" s="1"/>
  <c r="N30" i="2"/>
  <c r="A30" i="2" s="1"/>
  <c r="N15" i="2"/>
  <c r="A15" i="2" s="1"/>
  <c r="N3" i="2"/>
  <c r="A3" i="2" s="1"/>
  <c r="N51" i="2"/>
  <c r="A51" i="2" s="1"/>
  <c r="N4" i="2"/>
  <c r="A4" i="2" s="1"/>
  <c r="N20" i="2"/>
  <c r="A20" i="2" s="1"/>
  <c r="N6" i="2"/>
  <c r="A6" i="2" s="1"/>
  <c r="N22" i="2"/>
  <c r="A22" i="2" s="1"/>
  <c r="N38" i="2"/>
  <c r="A38" i="2" s="1"/>
  <c r="N7" i="2"/>
  <c r="A7" i="2" s="1"/>
  <c r="N23" i="2"/>
  <c r="A23" i="2" s="1"/>
  <c r="N39" i="2"/>
  <c r="A39" i="2" s="1"/>
  <c r="N8" i="2"/>
  <c r="A8" i="2" s="1"/>
  <c r="N24" i="2"/>
  <c r="A24" i="2" s="1"/>
  <c r="N40" i="2"/>
  <c r="A40" i="2" s="1"/>
  <c r="N9" i="2"/>
  <c r="A9" i="2" s="1"/>
  <c r="N25" i="2"/>
  <c r="A25" i="2" s="1"/>
  <c r="N41" i="2"/>
  <c r="A41" i="2" s="1"/>
  <c r="N45" i="2"/>
  <c r="A45" i="2" s="1"/>
  <c r="N14" i="2"/>
  <c r="A14" i="2" s="1"/>
  <c r="M2" i="2"/>
  <c r="N31" i="2"/>
  <c r="A31" i="2" s="1"/>
  <c r="N47" i="2"/>
  <c r="A47" i="2" s="1"/>
  <c r="N16" i="2"/>
  <c r="A16" i="2" s="1"/>
  <c r="N32" i="2"/>
  <c r="A32" i="2" s="1"/>
  <c r="N48" i="2"/>
  <c r="A48" i="2" s="1"/>
  <c r="N33" i="2"/>
  <c r="A33" i="2" s="1"/>
  <c r="N49" i="2"/>
  <c r="A49" i="2" s="1"/>
  <c r="N18" i="2"/>
  <c r="A18" i="2" s="1"/>
  <c r="N34" i="2"/>
  <c r="A34" i="2" s="1"/>
  <c r="A2" i="1"/>
  <c r="B2" i="1" s="1"/>
  <c r="H9" i="1"/>
  <c r="A9" i="1" s="1"/>
  <c r="B9" i="1" s="1"/>
  <c r="H41" i="1"/>
  <c r="A41" i="1" s="1"/>
  <c r="B41" i="1" s="1"/>
  <c r="H25" i="1"/>
  <c r="A25" i="1" s="1"/>
  <c r="B25" i="1" s="1"/>
  <c r="H24" i="1"/>
  <c r="A24" i="1" s="1"/>
  <c r="B24" i="1" s="1"/>
  <c r="H8" i="1"/>
  <c r="A8" i="1" s="1"/>
  <c r="B8" i="1" s="1"/>
  <c r="H39" i="1"/>
  <c r="A39" i="1" s="1"/>
  <c r="B39" i="1" s="1"/>
  <c r="H23" i="1"/>
  <c r="A23" i="1" s="1"/>
  <c r="B23" i="1" s="1"/>
  <c r="H7" i="1"/>
  <c r="A7" i="1" s="1"/>
  <c r="B7" i="1" s="1"/>
  <c r="H38" i="1"/>
  <c r="A38" i="1" s="1"/>
  <c r="B38" i="1" s="1"/>
  <c r="H22" i="1"/>
  <c r="A22" i="1" s="1"/>
  <c r="B22" i="1" s="1"/>
  <c r="H6" i="1"/>
  <c r="A6" i="1" s="1"/>
  <c r="B6" i="1" s="1"/>
  <c r="H37" i="1"/>
  <c r="A37" i="1" s="1"/>
  <c r="B37" i="1" s="1"/>
  <c r="H21" i="1"/>
  <c r="A21" i="1" s="1"/>
  <c r="B21" i="1" s="1"/>
  <c r="H5" i="1"/>
  <c r="A5" i="1" s="1"/>
  <c r="B5" i="1" s="1"/>
  <c r="H50" i="1"/>
  <c r="A50" i="1" s="1"/>
  <c r="B50" i="1" s="1"/>
  <c r="H34" i="1"/>
  <c r="A34" i="1" s="1"/>
  <c r="B34" i="1" s="1"/>
  <c r="H18" i="1"/>
  <c r="A18" i="1" s="1"/>
  <c r="B18" i="1" s="1"/>
  <c r="H49" i="1"/>
  <c r="A49" i="1" s="1"/>
  <c r="B49" i="1" s="1"/>
  <c r="H33" i="1"/>
  <c r="A33" i="1" s="1"/>
  <c r="B33" i="1" s="1"/>
  <c r="H17" i="1"/>
  <c r="A17" i="1" s="1"/>
  <c r="B17" i="1" s="1"/>
  <c r="H48" i="1"/>
  <c r="A48" i="1" s="1"/>
  <c r="B48" i="1" s="1"/>
  <c r="H32" i="1"/>
  <c r="A32" i="1" s="1"/>
  <c r="B32" i="1" s="1"/>
  <c r="H16" i="1"/>
  <c r="A16" i="1" s="1"/>
  <c r="B16" i="1" s="1"/>
  <c r="H47" i="1"/>
  <c r="A47" i="1" s="1"/>
  <c r="B47" i="1" s="1"/>
  <c r="H31" i="1"/>
  <c r="A31" i="1" s="1"/>
  <c r="B31" i="1" s="1"/>
  <c r="H15" i="1"/>
  <c r="A15" i="1" s="1"/>
  <c r="B15" i="1" s="1"/>
  <c r="H46" i="1"/>
  <c r="A46" i="1" s="1"/>
  <c r="B46" i="1" s="1"/>
  <c r="H30" i="1"/>
  <c r="A30" i="1" s="1"/>
  <c r="B30" i="1" s="1"/>
  <c r="H14" i="1"/>
  <c r="A14" i="1" s="1"/>
  <c r="B14" i="1" s="1"/>
  <c r="H45" i="1"/>
  <c r="A45" i="1" s="1"/>
  <c r="B45" i="1" s="1"/>
  <c r="H29" i="1"/>
  <c r="A29" i="1" s="1"/>
  <c r="B29" i="1" s="1"/>
  <c r="H13" i="1"/>
  <c r="A13" i="1" s="1"/>
  <c r="B13" i="1" s="1"/>
  <c r="H44" i="1"/>
  <c r="A44" i="1" s="1"/>
  <c r="B44" i="1" s="1"/>
  <c r="H28" i="1"/>
  <c r="A28" i="1" s="1"/>
  <c r="B28" i="1" s="1"/>
  <c r="H12" i="1"/>
  <c r="A12" i="1" s="1"/>
  <c r="B12" i="1" s="1"/>
  <c r="H43" i="1"/>
  <c r="A43" i="1" s="1"/>
  <c r="B43" i="1" s="1"/>
  <c r="H27" i="1"/>
  <c r="A27" i="1" s="1"/>
  <c r="B27" i="1" s="1"/>
  <c r="H11" i="1"/>
  <c r="A11" i="1" s="1"/>
  <c r="B11" i="1" s="1"/>
  <c r="H42" i="1"/>
  <c r="A42" i="1" s="1"/>
  <c r="B42" i="1" s="1"/>
  <c r="H26" i="1"/>
  <c r="A26" i="1" s="1"/>
  <c r="B26" i="1" s="1"/>
  <c r="H10" i="1"/>
  <c r="A10" i="1" s="1"/>
  <c r="B10" i="1" s="1"/>
  <c r="H40" i="1"/>
  <c r="A40" i="1" s="1"/>
  <c r="B40" i="1" s="1"/>
  <c r="H36" i="1"/>
  <c r="A36" i="1" s="1"/>
  <c r="B36" i="1" s="1"/>
  <c r="H20" i="1"/>
  <c r="A20" i="1" s="1"/>
  <c r="B20" i="1" s="1"/>
  <c r="H4" i="1"/>
  <c r="A4" i="1" s="1"/>
  <c r="B4" i="1" s="1"/>
  <c r="H51" i="1"/>
  <c r="A51" i="1" s="1"/>
  <c r="B51" i="1" s="1"/>
  <c r="H35" i="1"/>
  <c r="A35" i="1" s="1"/>
  <c r="B35" i="1" s="1"/>
  <c r="H19" i="1"/>
  <c r="A19" i="1" s="1"/>
  <c r="B19" i="1" s="1"/>
  <c r="H3" i="1"/>
  <c r="A3" i="1" s="1"/>
  <c r="B3" i="1" s="1"/>
  <c r="N2" i="2" l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<sst xmlns="http://schemas.openxmlformats.org/spreadsheetml/2006/main" count="17" uniqueCount="11">
  <si>
    <t>Inventory_Order_Date</t>
  </si>
  <si>
    <t>Inventory_Update_Date</t>
  </si>
  <si>
    <t>Month</t>
  </si>
  <si>
    <t>Day</t>
  </si>
  <si>
    <t>hour</t>
  </si>
  <si>
    <t>min</t>
  </si>
  <si>
    <t>sec</t>
  </si>
  <si>
    <t>year</t>
  </si>
  <si>
    <t>Date</t>
  </si>
  <si>
    <t>Amount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</si>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</sst>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,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workbookViewId="0">
      <selection activeCell="A2" sqref="A2"/>
    </sheetView>
  </sheetViews>
  <sheetFormatPr defaultRowHeight="14.5" x14ac:dyDescent="0.35"/>
  <cols>
    <col min="1" max="1" width="19.81640625" style="1" bestFit="1" customWidth="1"/>
    <col min="2" max="2" width="21.08984375" style="1" bestFit="1" customWidth="1"/>
    <col min="6" max="6" width="4.81640625" bestFit="1" customWidth="1"/>
    <col min="7" max="7" width="6.453125" bestFit="1" customWidth="1"/>
    <col min="8" max="8" width="4" bestFit="1" customWidth="1"/>
    <col min="9" max="9" width="4.81640625" bestFit="1" customWidth="1"/>
    <col min="10" max="10" width="4" bestFit="1" customWidth="1"/>
    <col min="11" max="11" width="3.453125" bestFit="1" customWidth="1"/>
    <col min="13" max="13" width="33.36328125" customWidth="1"/>
  </cols>
  <sheetData>
    <row r="1" spans="1:11" x14ac:dyDescent="0.35">
      <c r="A1" s="1" t="s">
        <v>0</v>
      </c>
      <c r="B1" s="1" t="s">
        <v>1</v>
      </c>
      <c r="F1" t="s">
        <v>7</v>
      </c>
      <c r="G1" t="s">
        <v>2</v>
      </c>
      <c r="H1" t="s">
        <v>3</v>
      </c>
      <c r="I1" t="s">
        <v>4</v>
      </c>
      <c r="J1" t="s">
        <v>5</v>
      </c>
      <c r="K1" t="s">
        <v>6</v>
      </c>
    </row>
    <row r="2" spans="1:11" x14ac:dyDescent="0.35">
      <c r="A2" s="1">
        <f ca="1">DATE(F2,G2,H2)+TIME(I2,J2,K2)</f>
        <v>46080.458831018521</v>
      </c>
      <c r="B2" s="1">
        <f ca="1">A2+(RANDBETWEEN(0, 2592000) / 86400)</f>
        <v>46104.414837962962</v>
      </c>
      <c r="F2">
        <v>2026</v>
      </c>
      <c r="G2" cm="1">
        <f t="array" aca="1" ref="G2:G51" ca="1">_xlfn.RANDARRAY(50,1,0,12,TRUE)</f>
        <v>2</v>
      </c>
      <c r="H2">
        <f ca="1">RANDBETWEEN(0,DAY(EOMONTH(DATE(YEAR(TODAY()), G2, 1), 0)))</f>
        <v>27</v>
      </c>
      <c r="I2" cm="1">
        <f t="array" aca="1" ref="I2:K51" ca="1">_xlfn.RANDARRAY(50,3,0,60,TRUE)</f>
        <v>59</v>
      </c>
      <c r="J2">
        <f ca="1"/>
        <v>0</v>
      </c>
      <c r="K2">
        <f ca="1"/>
        <v>43</v>
      </c>
    </row>
    <row r="3" spans="1:11" x14ac:dyDescent="0.35">
      <c r="A3" s="1">
        <f t="shared" ref="A3:A51" ca="1" si="0">DATE(F3,G3,H3)+TIME(I3,J3,K3)</f>
        <v>46053.727407407408</v>
      </c>
      <c r="B3" s="1">
        <f t="shared" ref="B3:B51" ca="1" si="1">A3+(RANDBETWEEN(0, 2592000) / 86400)</f>
        <v>46054.126180555555</v>
      </c>
      <c r="F3">
        <v>2026</v>
      </c>
      <c r="G3">
        <f ca="1"/>
        <v>2</v>
      </c>
      <c r="H3">
        <f t="shared" ref="H3:H51" ca="1" si="2">RANDBETWEEN(0,DAY(EOMONTH(DATE(YEAR(TODAY()), G3, 1), 0)))</f>
        <v>0</v>
      </c>
      <c r="I3">
        <f ca="1"/>
        <v>41</v>
      </c>
      <c r="J3">
        <f ca="1"/>
        <v>27</v>
      </c>
      <c r="K3">
        <f ca="1"/>
        <v>28</v>
      </c>
    </row>
    <row r="4" spans="1:11" x14ac:dyDescent="0.35">
      <c r="A4" s="1">
        <f t="shared" ca="1" si="0"/>
        <v>46195.237743055557</v>
      </c>
      <c r="B4" s="1">
        <f t="shared" ca="1" si="1"/>
        <v>46205.00576388889</v>
      </c>
      <c r="F4">
        <v>2026</v>
      </c>
      <c r="G4">
        <f ca="1"/>
        <v>6</v>
      </c>
      <c r="H4">
        <f t="shared" ca="1" si="2"/>
        <v>22</v>
      </c>
      <c r="I4">
        <f ca="1"/>
        <v>29</v>
      </c>
      <c r="J4">
        <f ca="1"/>
        <v>42</v>
      </c>
      <c r="K4">
        <f ca="1"/>
        <v>21</v>
      </c>
    </row>
    <row r="5" spans="1:11" x14ac:dyDescent="0.35">
      <c r="A5" s="1">
        <f t="shared" ca="1" si="0"/>
        <v>46103.594328703701</v>
      </c>
      <c r="B5" s="1">
        <f t="shared" ca="1" si="1"/>
        <v>46118.915706018517</v>
      </c>
      <c r="F5">
        <v>2026</v>
      </c>
      <c r="G5">
        <f ca="1"/>
        <v>3</v>
      </c>
      <c r="H5">
        <f t="shared" ca="1" si="2"/>
        <v>22</v>
      </c>
      <c r="I5">
        <f ca="1"/>
        <v>38</v>
      </c>
      <c r="J5">
        <f ca="1"/>
        <v>15</v>
      </c>
      <c r="K5">
        <f ca="1"/>
        <v>50</v>
      </c>
    </row>
    <row r="6" spans="1:11" x14ac:dyDescent="0.35">
      <c r="A6" s="1">
        <f t="shared" ca="1" si="0"/>
        <v>46120.722546296296</v>
      </c>
      <c r="B6" s="1">
        <f t="shared" ca="1" si="1"/>
        <v>46127.687511574077</v>
      </c>
      <c r="F6">
        <v>2026</v>
      </c>
      <c r="G6">
        <f ca="1"/>
        <v>4</v>
      </c>
      <c r="H6">
        <f t="shared" ca="1" si="2"/>
        <v>8</v>
      </c>
      <c r="I6">
        <f ca="1"/>
        <v>17</v>
      </c>
      <c r="J6">
        <f ca="1"/>
        <v>20</v>
      </c>
      <c r="K6">
        <f ca="1"/>
        <v>28</v>
      </c>
    </row>
    <row r="7" spans="1:11" x14ac:dyDescent="0.35">
      <c r="A7" s="1">
        <f t="shared" ca="1" si="0"/>
        <v>46376.432719907411</v>
      </c>
      <c r="B7" s="1">
        <f t="shared" ca="1" si="1"/>
        <v>46385.349837962967</v>
      </c>
      <c r="F7">
        <v>2026</v>
      </c>
      <c r="G7">
        <f ca="1"/>
        <v>12</v>
      </c>
      <c r="H7">
        <f t="shared" ca="1" si="2"/>
        <v>20</v>
      </c>
      <c r="I7">
        <f ca="1"/>
        <v>34</v>
      </c>
      <c r="J7">
        <f ca="1"/>
        <v>23</v>
      </c>
      <c r="K7">
        <f ca="1"/>
        <v>7</v>
      </c>
    </row>
    <row r="8" spans="1:11" x14ac:dyDescent="0.35">
      <c r="A8" s="1">
        <f t="shared" ca="1" si="0"/>
        <v>46241.494363425925</v>
      </c>
      <c r="B8" s="1">
        <f t="shared" ca="1" si="1"/>
        <v>46266.787662037037</v>
      </c>
      <c r="F8">
        <v>2026</v>
      </c>
      <c r="G8">
        <f ca="1"/>
        <v>8</v>
      </c>
      <c r="H8">
        <f t="shared" ca="1" si="2"/>
        <v>7</v>
      </c>
      <c r="I8">
        <f ca="1"/>
        <v>35</v>
      </c>
      <c r="J8">
        <f ca="1"/>
        <v>51</v>
      </c>
      <c r="K8">
        <f ca="1"/>
        <v>53</v>
      </c>
    </row>
    <row r="9" spans="1:11" x14ac:dyDescent="0.35">
      <c r="A9" s="1">
        <f t="shared" ca="1" si="0"/>
        <v>46354.418217592596</v>
      </c>
      <c r="B9" s="1">
        <f t="shared" ca="1" si="1"/>
        <v>46355.671284722222</v>
      </c>
      <c r="F9">
        <v>2026</v>
      </c>
      <c r="G9">
        <f ca="1"/>
        <v>11</v>
      </c>
      <c r="H9">
        <f t="shared" ca="1" si="2"/>
        <v>28</v>
      </c>
      <c r="I9">
        <f ca="1"/>
        <v>10</v>
      </c>
      <c r="J9">
        <f ca="1"/>
        <v>2</v>
      </c>
      <c r="K9">
        <f ca="1"/>
        <v>14</v>
      </c>
    </row>
    <row r="10" spans="1:11" x14ac:dyDescent="0.35">
      <c r="A10" s="1">
        <f t="shared" ca="1" si="0"/>
        <v>46290.080868055556</v>
      </c>
      <c r="B10" s="1">
        <f t="shared" ca="1" si="1"/>
        <v>46291.305763888893</v>
      </c>
      <c r="F10">
        <v>2026</v>
      </c>
      <c r="G10">
        <f ca="1"/>
        <v>9</v>
      </c>
      <c r="H10">
        <f t="shared" ca="1" si="2"/>
        <v>25</v>
      </c>
      <c r="I10">
        <f ca="1"/>
        <v>25</v>
      </c>
      <c r="J10">
        <f ca="1"/>
        <v>56</v>
      </c>
      <c r="K10">
        <f ca="1"/>
        <v>27</v>
      </c>
    </row>
    <row r="11" spans="1:11" x14ac:dyDescent="0.35">
      <c r="A11" s="1">
        <f t="shared" ca="1" si="0"/>
        <v>46281.701006944444</v>
      </c>
      <c r="B11" s="1">
        <f t="shared" ca="1" si="1"/>
        <v>46307.898194444446</v>
      </c>
      <c r="F11">
        <v>2026</v>
      </c>
      <c r="G11">
        <f ca="1"/>
        <v>9</v>
      </c>
      <c r="H11">
        <f t="shared" ca="1" si="2"/>
        <v>16</v>
      </c>
      <c r="I11">
        <f ca="1"/>
        <v>16</v>
      </c>
      <c r="J11">
        <f ca="1"/>
        <v>49</v>
      </c>
      <c r="K11">
        <f ca="1"/>
        <v>27</v>
      </c>
    </row>
    <row r="12" spans="1:11" x14ac:dyDescent="0.35">
      <c r="A12" s="1">
        <f t="shared" ca="1" si="0"/>
        <v>46249.98101851852</v>
      </c>
      <c r="B12" s="1">
        <f t="shared" ca="1" si="1"/>
        <v>46279.612453703703</v>
      </c>
      <c r="F12">
        <v>2026</v>
      </c>
      <c r="G12">
        <f ca="1"/>
        <v>8</v>
      </c>
      <c r="H12">
        <f t="shared" ca="1" si="2"/>
        <v>15</v>
      </c>
      <c r="I12">
        <f ca="1"/>
        <v>23</v>
      </c>
      <c r="J12">
        <f ca="1"/>
        <v>32</v>
      </c>
      <c r="K12">
        <f ca="1"/>
        <v>40</v>
      </c>
    </row>
    <row r="13" spans="1:11" x14ac:dyDescent="0.35">
      <c r="A13" s="1">
        <f t="shared" ca="1" si="0"/>
        <v>46259.980879629627</v>
      </c>
      <c r="B13" s="1">
        <f t="shared" ca="1" si="1"/>
        <v>46272.159085648149</v>
      </c>
      <c r="F13">
        <v>2026</v>
      </c>
      <c r="G13">
        <f ca="1"/>
        <v>8</v>
      </c>
      <c r="H13">
        <f t="shared" ca="1" si="2"/>
        <v>25</v>
      </c>
      <c r="I13">
        <f ca="1"/>
        <v>23</v>
      </c>
      <c r="J13">
        <f ca="1"/>
        <v>32</v>
      </c>
      <c r="K13">
        <f ca="1"/>
        <v>28</v>
      </c>
    </row>
    <row r="14" spans="1:11" x14ac:dyDescent="0.35">
      <c r="A14" s="1">
        <f t="shared" ca="1" si="0"/>
        <v>46263.303668981483</v>
      </c>
      <c r="B14" s="1">
        <f t="shared" ca="1" si="1"/>
        <v>46268.392025462963</v>
      </c>
      <c r="F14">
        <v>2026</v>
      </c>
      <c r="G14">
        <f ca="1"/>
        <v>8</v>
      </c>
      <c r="H14">
        <f t="shared" ca="1" si="2"/>
        <v>29</v>
      </c>
      <c r="I14">
        <f ca="1"/>
        <v>7</v>
      </c>
      <c r="J14">
        <f ca="1"/>
        <v>17</v>
      </c>
      <c r="K14">
        <f ca="1"/>
        <v>17</v>
      </c>
    </row>
    <row r="15" spans="1:11" x14ac:dyDescent="0.35">
      <c r="A15" s="1">
        <f t="shared" ca="1" si="0"/>
        <v>46223.2655787037</v>
      </c>
      <c r="B15" s="1">
        <f t="shared" ca="1" si="1"/>
        <v>46244.181030092586</v>
      </c>
      <c r="F15">
        <v>2026</v>
      </c>
      <c r="G15">
        <f ca="1"/>
        <v>7</v>
      </c>
      <c r="H15">
        <f t="shared" ca="1" si="2"/>
        <v>20</v>
      </c>
      <c r="I15">
        <f ca="1"/>
        <v>30</v>
      </c>
      <c r="J15">
        <f ca="1"/>
        <v>22</v>
      </c>
      <c r="K15">
        <f ca="1"/>
        <v>26</v>
      </c>
    </row>
    <row r="16" spans="1:11" x14ac:dyDescent="0.35">
      <c r="A16" s="1">
        <f t="shared" ca="1" si="0"/>
        <v>46385.12158564815</v>
      </c>
      <c r="B16" s="1">
        <f t="shared" ca="1" si="1"/>
        <v>46410.889108796298</v>
      </c>
      <c r="F16">
        <v>2026</v>
      </c>
      <c r="G16">
        <f ca="1"/>
        <v>12</v>
      </c>
      <c r="H16">
        <f t="shared" ca="1" si="2"/>
        <v>29</v>
      </c>
      <c r="I16">
        <f ca="1"/>
        <v>2</v>
      </c>
      <c r="J16">
        <f ca="1"/>
        <v>55</v>
      </c>
      <c r="K16">
        <f ca="1"/>
        <v>5</v>
      </c>
    </row>
    <row r="17" spans="1:11" x14ac:dyDescent="0.35">
      <c r="A17" s="1">
        <f t="shared" ca="1" si="0"/>
        <v>46051.905231481483</v>
      </c>
      <c r="B17" s="1">
        <f t="shared" ca="1" si="1"/>
        <v>46057.459374999999</v>
      </c>
      <c r="F17">
        <v>2026</v>
      </c>
      <c r="G17">
        <f ca="1"/>
        <v>1</v>
      </c>
      <c r="H17">
        <f t="shared" ca="1" si="2"/>
        <v>29</v>
      </c>
      <c r="I17">
        <f ca="1"/>
        <v>21</v>
      </c>
      <c r="J17">
        <f ca="1"/>
        <v>43</v>
      </c>
      <c r="K17">
        <f ca="1"/>
        <v>32</v>
      </c>
    </row>
    <row r="18" spans="1:11" x14ac:dyDescent="0.35">
      <c r="A18" s="1">
        <f t="shared" ca="1" si="0"/>
        <v>46072.486006944448</v>
      </c>
      <c r="B18" s="1">
        <f t="shared" ca="1" si="1"/>
        <v>46084.650115740747</v>
      </c>
      <c r="F18">
        <v>2026</v>
      </c>
      <c r="G18">
        <f ca="1"/>
        <v>2</v>
      </c>
      <c r="H18">
        <f t="shared" ca="1" si="2"/>
        <v>19</v>
      </c>
      <c r="I18">
        <f ca="1"/>
        <v>59</v>
      </c>
      <c r="J18">
        <f ca="1"/>
        <v>39</v>
      </c>
      <c r="K18">
        <f ca="1"/>
        <v>51</v>
      </c>
    </row>
    <row r="19" spans="1:11" x14ac:dyDescent="0.35">
      <c r="A19" s="1">
        <f t="shared" ca="1" si="0"/>
        <v>46153.638252314813</v>
      </c>
      <c r="B19" s="1">
        <f t="shared" ca="1" si="1"/>
        <v>46167.967847222222</v>
      </c>
      <c r="F19">
        <v>2026</v>
      </c>
      <c r="G19">
        <f ca="1"/>
        <v>5</v>
      </c>
      <c r="H19">
        <f t="shared" ca="1" si="2"/>
        <v>11</v>
      </c>
      <c r="I19">
        <f ca="1"/>
        <v>39</v>
      </c>
      <c r="J19">
        <f ca="1"/>
        <v>19</v>
      </c>
      <c r="K19">
        <f ca="1"/>
        <v>5</v>
      </c>
    </row>
    <row r="20" spans="1:11" x14ac:dyDescent="0.35">
      <c r="A20" s="1">
        <f t="shared" ca="1" si="0"/>
        <v>46198.559687499997</v>
      </c>
      <c r="B20" s="1">
        <f t="shared" ca="1" si="1"/>
        <v>46204.470011574071</v>
      </c>
      <c r="F20">
        <v>2026</v>
      </c>
      <c r="G20">
        <f ca="1"/>
        <v>6</v>
      </c>
      <c r="H20">
        <f t="shared" ca="1" si="2"/>
        <v>25</v>
      </c>
      <c r="I20">
        <f ca="1"/>
        <v>13</v>
      </c>
      <c r="J20">
        <f ca="1"/>
        <v>25</v>
      </c>
      <c r="K20">
        <f ca="1"/>
        <v>57</v>
      </c>
    </row>
    <row r="21" spans="1:11" x14ac:dyDescent="0.35">
      <c r="A21" s="1">
        <f t="shared" ca="1" si="0"/>
        <v>46236.328946759262</v>
      </c>
      <c r="B21" s="1">
        <f t="shared" ca="1" si="1"/>
        <v>46264.964594907411</v>
      </c>
      <c r="F21">
        <v>2026</v>
      </c>
      <c r="G21">
        <f ca="1"/>
        <v>8</v>
      </c>
      <c r="H21">
        <f t="shared" ca="1" si="2"/>
        <v>2</v>
      </c>
      <c r="I21">
        <f ca="1"/>
        <v>31</v>
      </c>
      <c r="J21">
        <f ca="1"/>
        <v>53</v>
      </c>
      <c r="K21">
        <f ca="1"/>
        <v>41</v>
      </c>
    </row>
    <row r="22" spans="1:11" x14ac:dyDescent="0.35">
      <c r="A22" s="1">
        <f t="shared" ca="1" si="0"/>
        <v>46163.743576388886</v>
      </c>
      <c r="B22" s="1">
        <f t="shared" ca="1" si="1"/>
        <v>46179.340520833328</v>
      </c>
      <c r="F22">
        <v>2026</v>
      </c>
      <c r="G22">
        <f ca="1"/>
        <v>5</v>
      </c>
      <c r="H22">
        <f t="shared" ca="1" si="2"/>
        <v>21</v>
      </c>
      <c r="I22">
        <f ca="1"/>
        <v>41</v>
      </c>
      <c r="J22">
        <f ca="1"/>
        <v>50</v>
      </c>
      <c r="K22">
        <f ca="1"/>
        <v>45</v>
      </c>
    </row>
    <row r="23" spans="1:11" x14ac:dyDescent="0.35">
      <c r="A23" s="1">
        <f t="shared" ca="1" si="0"/>
        <v>46141.539259259262</v>
      </c>
      <c r="B23" s="1">
        <f t="shared" ca="1" si="1"/>
        <v>46159.411192129635</v>
      </c>
      <c r="F23">
        <v>2026</v>
      </c>
      <c r="G23">
        <f ca="1"/>
        <v>4</v>
      </c>
      <c r="H23">
        <f t="shared" ca="1" si="2"/>
        <v>29</v>
      </c>
      <c r="I23">
        <f ca="1"/>
        <v>12</v>
      </c>
      <c r="J23">
        <f ca="1"/>
        <v>56</v>
      </c>
      <c r="K23">
        <f ca="1"/>
        <v>32</v>
      </c>
    </row>
    <row r="24" spans="1:11" x14ac:dyDescent="0.35">
      <c r="A24" s="1">
        <f t="shared" ca="1" si="0"/>
        <v>46324.90525462963</v>
      </c>
      <c r="B24" s="1">
        <f t="shared" ca="1" si="1"/>
        <v>46332.245266203703</v>
      </c>
      <c r="F24">
        <v>2026</v>
      </c>
      <c r="G24">
        <f ca="1"/>
        <v>10</v>
      </c>
      <c r="H24">
        <f t="shared" ca="1" si="2"/>
        <v>29</v>
      </c>
      <c r="I24">
        <f ca="1"/>
        <v>45</v>
      </c>
      <c r="J24">
        <f ca="1"/>
        <v>43</v>
      </c>
      <c r="K24">
        <f ca="1"/>
        <v>34</v>
      </c>
    </row>
    <row r="25" spans="1:11" x14ac:dyDescent="0.35">
      <c r="A25" s="1">
        <f t="shared" ca="1" si="0"/>
        <v>46122.824814814812</v>
      </c>
      <c r="B25" s="1">
        <f t="shared" ca="1" si="1"/>
        <v>46129.825844907406</v>
      </c>
      <c r="F25">
        <v>2026</v>
      </c>
      <c r="G25">
        <f ca="1"/>
        <v>4</v>
      </c>
      <c r="H25">
        <f t="shared" ca="1" si="2"/>
        <v>10</v>
      </c>
      <c r="I25">
        <f ca="1"/>
        <v>43</v>
      </c>
      <c r="J25">
        <f ca="1"/>
        <v>47</v>
      </c>
      <c r="K25">
        <f ca="1"/>
        <v>44</v>
      </c>
    </row>
    <row r="26" spans="1:11" x14ac:dyDescent="0.35">
      <c r="A26" s="1">
        <f t="shared" ca="1" si="0"/>
        <v>45995.629016203704</v>
      </c>
      <c r="B26" s="1">
        <f t="shared" ca="1" si="1"/>
        <v>46012.703101851854</v>
      </c>
      <c r="F26">
        <v>2026</v>
      </c>
      <c r="G26">
        <f ca="1"/>
        <v>0</v>
      </c>
      <c r="H26">
        <f t="shared" ca="1" si="2"/>
        <v>4</v>
      </c>
      <c r="I26">
        <f ca="1"/>
        <v>39</v>
      </c>
      <c r="J26">
        <f ca="1"/>
        <v>5</v>
      </c>
      <c r="K26">
        <f ca="1"/>
        <v>47</v>
      </c>
    </row>
    <row r="27" spans="1:11" x14ac:dyDescent="0.35">
      <c r="A27" s="1">
        <f t="shared" ca="1" si="0"/>
        <v>45998.538194444445</v>
      </c>
      <c r="B27" s="1">
        <f t="shared" ca="1" si="1"/>
        <v>46004.274004629631</v>
      </c>
      <c r="F27">
        <v>2026</v>
      </c>
      <c r="G27">
        <f ca="1"/>
        <v>0</v>
      </c>
      <c r="H27">
        <f t="shared" ca="1" si="2"/>
        <v>7</v>
      </c>
      <c r="I27">
        <f ca="1"/>
        <v>36</v>
      </c>
      <c r="J27">
        <f ca="1"/>
        <v>54</v>
      </c>
      <c r="K27">
        <f ca="1"/>
        <v>60</v>
      </c>
    </row>
    <row r="28" spans="1:11" x14ac:dyDescent="0.35">
      <c r="A28" s="1">
        <f t="shared" ca="1" si="0"/>
        <v>46065.25304398148</v>
      </c>
      <c r="B28" s="1">
        <f t="shared" ca="1" si="1"/>
        <v>46094.904502314814</v>
      </c>
      <c r="F28">
        <v>2026</v>
      </c>
      <c r="G28">
        <f ca="1"/>
        <v>2</v>
      </c>
      <c r="H28">
        <f t="shared" ca="1" si="2"/>
        <v>12</v>
      </c>
      <c r="I28">
        <f ca="1"/>
        <v>54</v>
      </c>
      <c r="J28">
        <f ca="1"/>
        <v>4</v>
      </c>
      <c r="K28">
        <f ca="1"/>
        <v>23</v>
      </c>
    </row>
    <row r="29" spans="1:11" x14ac:dyDescent="0.35">
      <c r="A29" s="1">
        <f t="shared" ca="1" si="0"/>
        <v>46115.2653125</v>
      </c>
      <c r="B29" s="1">
        <f t="shared" ca="1" si="1"/>
        <v>46115.744062500002</v>
      </c>
      <c r="F29">
        <v>2026</v>
      </c>
      <c r="G29">
        <f ca="1"/>
        <v>4</v>
      </c>
      <c r="H29">
        <f t="shared" ca="1" si="2"/>
        <v>3</v>
      </c>
      <c r="I29">
        <f ca="1"/>
        <v>30</v>
      </c>
      <c r="J29">
        <f ca="1"/>
        <v>22</v>
      </c>
      <c r="K29">
        <f ca="1"/>
        <v>3</v>
      </c>
    </row>
    <row r="30" spans="1:11" x14ac:dyDescent="0.35">
      <c r="A30" s="1">
        <f t="shared" ca="1" si="0"/>
        <v>46241.113622685189</v>
      </c>
      <c r="B30" s="1">
        <f t="shared" ca="1" si="1"/>
        <v>46242.644803240742</v>
      </c>
      <c r="F30">
        <v>2026</v>
      </c>
      <c r="G30">
        <f ca="1"/>
        <v>8</v>
      </c>
      <c r="H30">
        <f t="shared" ca="1" si="2"/>
        <v>7</v>
      </c>
      <c r="I30">
        <f ca="1"/>
        <v>50</v>
      </c>
      <c r="J30">
        <f ca="1"/>
        <v>43</v>
      </c>
      <c r="K30">
        <f ca="1"/>
        <v>37</v>
      </c>
    </row>
    <row r="31" spans="1:11" x14ac:dyDescent="0.35">
      <c r="A31" s="1">
        <f t="shared" ca="1" si="0"/>
        <v>46015.085590277777</v>
      </c>
      <c r="B31" s="1">
        <f t="shared" ca="1" si="1"/>
        <v>46039.558645833335</v>
      </c>
      <c r="F31">
        <v>2026</v>
      </c>
      <c r="G31">
        <f ca="1"/>
        <v>0</v>
      </c>
      <c r="H31">
        <f t="shared" ca="1" si="2"/>
        <v>24</v>
      </c>
      <c r="I31">
        <f ca="1"/>
        <v>50</v>
      </c>
      <c r="J31">
        <f ca="1"/>
        <v>3</v>
      </c>
      <c r="K31">
        <f ca="1"/>
        <v>15</v>
      </c>
    </row>
    <row r="32" spans="1:11" x14ac:dyDescent="0.35">
      <c r="A32" s="1">
        <f t="shared" ca="1" si="0"/>
        <v>46255.585636574076</v>
      </c>
      <c r="B32" s="1">
        <f t="shared" ca="1" si="1"/>
        <v>46274.859074074076</v>
      </c>
      <c r="F32">
        <v>2026</v>
      </c>
      <c r="G32">
        <f ca="1"/>
        <v>8</v>
      </c>
      <c r="H32">
        <f t="shared" ca="1" si="2"/>
        <v>21</v>
      </c>
      <c r="I32">
        <f ca="1"/>
        <v>14</v>
      </c>
      <c r="J32">
        <f ca="1"/>
        <v>3</v>
      </c>
      <c r="K32">
        <f ca="1"/>
        <v>19</v>
      </c>
    </row>
    <row r="33" spans="1:11" x14ac:dyDescent="0.35">
      <c r="A33" s="1">
        <f t="shared" ca="1" si="0"/>
        <v>46114.230162037034</v>
      </c>
      <c r="B33" s="1">
        <f t="shared" ca="1" si="1"/>
        <v>46123.568159722221</v>
      </c>
      <c r="F33">
        <v>2026</v>
      </c>
      <c r="G33">
        <f ca="1"/>
        <v>4</v>
      </c>
      <c r="H33">
        <f t="shared" ca="1" si="2"/>
        <v>2</v>
      </c>
      <c r="I33">
        <f ca="1"/>
        <v>5</v>
      </c>
      <c r="J33">
        <f ca="1"/>
        <v>31</v>
      </c>
      <c r="K33">
        <f ca="1"/>
        <v>26</v>
      </c>
    </row>
    <row r="34" spans="1:11" x14ac:dyDescent="0.35">
      <c r="A34" s="1">
        <f t="shared" ca="1" si="0"/>
        <v>46242.072511574072</v>
      </c>
      <c r="B34" s="1">
        <f t="shared" ca="1" si="1"/>
        <v>46249.823888888888</v>
      </c>
      <c r="F34">
        <v>2026</v>
      </c>
      <c r="G34">
        <f ca="1"/>
        <v>8</v>
      </c>
      <c r="H34">
        <f t="shared" ca="1" si="2"/>
        <v>8</v>
      </c>
      <c r="I34">
        <f ca="1"/>
        <v>1</v>
      </c>
      <c r="J34">
        <f ca="1"/>
        <v>44</v>
      </c>
      <c r="K34">
        <f ca="1"/>
        <v>25</v>
      </c>
    </row>
    <row r="35" spans="1:11" x14ac:dyDescent="0.35">
      <c r="A35" s="1">
        <f t="shared" ca="1" si="0"/>
        <v>46066.422997685186</v>
      </c>
      <c r="B35" s="1">
        <f t="shared" ca="1" si="1"/>
        <v>46087.547488425924</v>
      </c>
      <c r="F35">
        <v>2026</v>
      </c>
      <c r="G35">
        <f ca="1"/>
        <v>2</v>
      </c>
      <c r="H35">
        <f t="shared" ca="1" si="2"/>
        <v>13</v>
      </c>
      <c r="I35">
        <f ca="1"/>
        <v>10</v>
      </c>
      <c r="J35">
        <f ca="1"/>
        <v>9</v>
      </c>
      <c r="K35">
        <f ca="1"/>
        <v>7</v>
      </c>
    </row>
    <row r="36" spans="1:11" x14ac:dyDescent="0.35">
      <c r="A36" s="1">
        <f t="shared" ca="1" si="0"/>
        <v>46333.335069444445</v>
      </c>
      <c r="B36" s="1">
        <f t="shared" ca="1" si="1"/>
        <v>46339.403935185182</v>
      </c>
      <c r="F36">
        <v>2026</v>
      </c>
      <c r="G36">
        <f ca="1"/>
        <v>11</v>
      </c>
      <c r="H36">
        <f t="shared" ca="1" si="2"/>
        <v>7</v>
      </c>
      <c r="I36">
        <f ca="1"/>
        <v>56</v>
      </c>
      <c r="J36">
        <f ca="1"/>
        <v>2</v>
      </c>
      <c r="K36">
        <f ca="1"/>
        <v>30</v>
      </c>
    </row>
    <row r="37" spans="1:11" x14ac:dyDescent="0.35">
      <c r="A37" s="1">
        <f t="shared" ca="1" si="0"/>
        <v>46176.074849537035</v>
      </c>
      <c r="B37" s="1">
        <f t="shared" ca="1" si="1"/>
        <v>46196.192847222221</v>
      </c>
      <c r="F37">
        <v>2026</v>
      </c>
      <c r="G37">
        <f ca="1"/>
        <v>6</v>
      </c>
      <c r="H37">
        <f t="shared" ca="1" si="2"/>
        <v>3</v>
      </c>
      <c r="I37">
        <f ca="1"/>
        <v>1</v>
      </c>
      <c r="J37">
        <f ca="1"/>
        <v>47</v>
      </c>
      <c r="K37">
        <f ca="1"/>
        <v>47</v>
      </c>
    </row>
    <row r="38" spans="1:11" x14ac:dyDescent="0.35">
      <c r="A38" s="1">
        <f t="shared" ca="1" si="0"/>
        <v>46120.126493055555</v>
      </c>
      <c r="B38" s="1">
        <f t="shared" ca="1" si="1"/>
        <v>46127.896157407406</v>
      </c>
      <c r="F38">
        <v>2026</v>
      </c>
      <c r="G38">
        <f ca="1"/>
        <v>4</v>
      </c>
      <c r="H38">
        <f t="shared" ca="1" si="2"/>
        <v>8</v>
      </c>
      <c r="I38">
        <f ca="1"/>
        <v>27</v>
      </c>
      <c r="J38">
        <f ca="1"/>
        <v>2</v>
      </c>
      <c r="K38">
        <f ca="1"/>
        <v>9</v>
      </c>
    </row>
    <row r="39" spans="1:11" x14ac:dyDescent="0.35">
      <c r="A39" s="1">
        <f t="shared" ca="1" si="0"/>
        <v>46160.654826388891</v>
      </c>
      <c r="B39" s="1">
        <f t="shared" ca="1" si="1"/>
        <v>46183.921412037038</v>
      </c>
      <c r="F39">
        <v>2026</v>
      </c>
      <c r="G39">
        <f ca="1"/>
        <v>5</v>
      </c>
      <c r="H39">
        <f t="shared" ca="1" si="2"/>
        <v>18</v>
      </c>
      <c r="I39">
        <f ca="1"/>
        <v>39</v>
      </c>
      <c r="J39">
        <f ca="1"/>
        <v>42</v>
      </c>
      <c r="K39">
        <f ca="1"/>
        <v>57</v>
      </c>
    </row>
    <row r="40" spans="1:11" x14ac:dyDescent="0.35">
      <c r="A40" s="1">
        <f t="shared" ca="1" si="0"/>
        <v>46286.842106481483</v>
      </c>
      <c r="B40" s="1">
        <f t="shared" ca="1" si="1"/>
        <v>46315.242777777778</v>
      </c>
      <c r="F40">
        <v>2026</v>
      </c>
      <c r="G40">
        <f ca="1"/>
        <v>9</v>
      </c>
      <c r="H40">
        <f t="shared" ca="1" si="2"/>
        <v>21</v>
      </c>
      <c r="I40">
        <f ca="1"/>
        <v>20</v>
      </c>
      <c r="J40">
        <f ca="1"/>
        <v>12</v>
      </c>
      <c r="K40">
        <f ca="1"/>
        <v>38</v>
      </c>
    </row>
    <row r="41" spans="1:11" x14ac:dyDescent="0.35">
      <c r="A41" s="1">
        <f t="shared" ca="1" si="0"/>
        <v>46210.541620370372</v>
      </c>
      <c r="B41" s="1">
        <f t="shared" ca="1" si="1"/>
        <v>46214.573287037041</v>
      </c>
      <c r="F41">
        <v>2026</v>
      </c>
      <c r="G41">
        <f ca="1"/>
        <v>7</v>
      </c>
      <c r="H41">
        <f t="shared" ca="1" si="2"/>
        <v>7</v>
      </c>
      <c r="I41">
        <f ca="1"/>
        <v>60</v>
      </c>
      <c r="J41">
        <f ca="1"/>
        <v>59</v>
      </c>
      <c r="K41">
        <f ca="1"/>
        <v>56</v>
      </c>
    </row>
    <row r="42" spans="1:11" x14ac:dyDescent="0.35">
      <c r="A42" s="1">
        <f t="shared" ca="1" si="0"/>
        <v>46120.789039351854</v>
      </c>
      <c r="B42" s="1">
        <f t="shared" ca="1" si="1"/>
        <v>46124.621944444443</v>
      </c>
      <c r="F42">
        <v>2026</v>
      </c>
      <c r="G42">
        <f ca="1"/>
        <v>4</v>
      </c>
      <c r="H42">
        <f t="shared" ca="1" si="2"/>
        <v>8</v>
      </c>
      <c r="I42">
        <f ca="1"/>
        <v>42</v>
      </c>
      <c r="J42">
        <f ca="1"/>
        <v>56</v>
      </c>
      <c r="K42">
        <f ca="1"/>
        <v>13</v>
      </c>
    </row>
    <row r="43" spans="1:11" x14ac:dyDescent="0.35">
      <c r="A43" s="1">
        <f t="shared" ca="1" si="0"/>
        <v>46265.207199074073</v>
      </c>
      <c r="B43" s="1">
        <f t="shared" ca="1" si="1"/>
        <v>46273.095648148148</v>
      </c>
      <c r="F43">
        <v>2026</v>
      </c>
      <c r="G43">
        <f ca="1"/>
        <v>9</v>
      </c>
      <c r="H43">
        <f t="shared" ca="1" si="2"/>
        <v>0</v>
      </c>
      <c r="I43">
        <f ca="1"/>
        <v>52</v>
      </c>
      <c r="J43">
        <f ca="1"/>
        <v>58</v>
      </c>
      <c r="K43">
        <f ca="1"/>
        <v>22</v>
      </c>
    </row>
    <row r="44" spans="1:11" x14ac:dyDescent="0.35">
      <c r="A44" s="1">
        <f t="shared" ca="1" si="0"/>
        <v>46121.580254629633</v>
      </c>
      <c r="B44" s="1">
        <f t="shared" ca="1" si="1"/>
        <v>46130.029340277782</v>
      </c>
      <c r="F44">
        <v>2026</v>
      </c>
      <c r="G44">
        <f ca="1"/>
        <v>4</v>
      </c>
      <c r="H44">
        <f t="shared" ca="1" si="2"/>
        <v>9</v>
      </c>
      <c r="I44">
        <f ca="1"/>
        <v>13</v>
      </c>
      <c r="J44">
        <f ca="1"/>
        <v>55</v>
      </c>
      <c r="K44">
        <f ca="1"/>
        <v>34</v>
      </c>
    </row>
    <row r="45" spans="1:11" x14ac:dyDescent="0.35">
      <c r="A45" s="1">
        <f t="shared" ca="1" si="0"/>
        <v>46252.311608796299</v>
      </c>
      <c r="B45" s="1">
        <f t="shared" ca="1" si="1"/>
        <v>46270.352430555555</v>
      </c>
      <c r="F45">
        <v>2026</v>
      </c>
      <c r="G45">
        <f ca="1"/>
        <v>8</v>
      </c>
      <c r="H45">
        <f t="shared" ca="1" si="2"/>
        <v>18</v>
      </c>
      <c r="I45">
        <f ca="1"/>
        <v>31</v>
      </c>
      <c r="J45">
        <f ca="1"/>
        <v>28</v>
      </c>
      <c r="K45">
        <f ca="1"/>
        <v>43</v>
      </c>
    </row>
    <row r="46" spans="1:11" x14ac:dyDescent="0.35">
      <c r="A46" s="1">
        <f t="shared" ca="1" si="0"/>
        <v>46012.071273148147</v>
      </c>
      <c r="B46" s="1">
        <f t="shared" ca="1" si="1"/>
        <v>46035.918229166666</v>
      </c>
      <c r="F46">
        <v>2026</v>
      </c>
      <c r="G46">
        <f ca="1"/>
        <v>0</v>
      </c>
      <c r="H46">
        <f t="shared" ca="1" si="2"/>
        <v>21</v>
      </c>
      <c r="I46">
        <f ca="1"/>
        <v>1</v>
      </c>
      <c r="J46">
        <f ca="1"/>
        <v>42</v>
      </c>
      <c r="K46">
        <f ca="1"/>
        <v>38</v>
      </c>
    </row>
    <row r="47" spans="1:11" x14ac:dyDescent="0.35">
      <c r="A47" s="1">
        <f t="shared" ca="1" si="0"/>
        <v>46138.646678240744</v>
      </c>
      <c r="B47" s="1">
        <f t="shared" ca="1" si="1"/>
        <v>46154.535416666673</v>
      </c>
      <c r="F47">
        <v>2026</v>
      </c>
      <c r="G47">
        <f ca="1"/>
        <v>4</v>
      </c>
      <c r="H47">
        <f t="shared" ca="1" si="2"/>
        <v>26</v>
      </c>
      <c r="I47">
        <f ca="1"/>
        <v>39</v>
      </c>
      <c r="J47">
        <f ca="1"/>
        <v>31</v>
      </c>
      <c r="K47">
        <f ca="1"/>
        <v>13</v>
      </c>
    </row>
    <row r="48" spans="1:11" x14ac:dyDescent="0.35">
      <c r="A48" s="1">
        <f t="shared" ca="1" si="0"/>
        <v>46170.143229166664</v>
      </c>
      <c r="B48" s="1">
        <f t="shared" ca="1" si="1"/>
        <v>46184.776134259257</v>
      </c>
      <c r="F48">
        <v>2026</v>
      </c>
      <c r="G48">
        <f ca="1"/>
        <v>5</v>
      </c>
      <c r="H48">
        <f t="shared" ca="1" si="2"/>
        <v>28</v>
      </c>
      <c r="I48">
        <f ca="1"/>
        <v>27</v>
      </c>
      <c r="J48">
        <f ca="1"/>
        <v>26</v>
      </c>
      <c r="K48">
        <f ca="1"/>
        <v>15</v>
      </c>
    </row>
    <row r="49" spans="1:11" x14ac:dyDescent="0.35">
      <c r="A49" s="1">
        <f t="shared" ca="1" si="0"/>
        <v>46351.523981481485</v>
      </c>
      <c r="B49" s="1">
        <f t="shared" ca="1" si="1"/>
        <v>46358.087858796302</v>
      </c>
      <c r="F49">
        <v>2026</v>
      </c>
      <c r="G49">
        <f ca="1"/>
        <v>11</v>
      </c>
      <c r="H49">
        <f t="shared" ca="1" si="2"/>
        <v>25</v>
      </c>
      <c r="I49">
        <f ca="1"/>
        <v>12</v>
      </c>
      <c r="J49">
        <f ca="1"/>
        <v>34</v>
      </c>
      <c r="K49">
        <f ca="1"/>
        <v>32</v>
      </c>
    </row>
    <row r="50" spans="1:11" x14ac:dyDescent="0.35">
      <c r="A50" s="1">
        <f t="shared" ca="1" si="0"/>
        <v>46236.615787037037</v>
      </c>
      <c r="B50" s="1">
        <f t="shared" ca="1" si="1"/>
        <v>46241.310879629629</v>
      </c>
      <c r="F50">
        <v>2026</v>
      </c>
      <c r="G50">
        <f ca="1"/>
        <v>8</v>
      </c>
      <c r="H50">
        <f t="shared" ca="1" si="2"/>
        <v>2</v>
      </c>
      <c r="I50">
        <f ca="1"/>
        <v>38</v>
      </c>
      <c r="J50">
        <f ca="1"/>
        <v>46</v>
      </c>
      <c r="K50">
        <f ca="1"/>
        <v>44</v>
      </c>
    </row>
    <row r="51" spans="1:11" x14ac:dyDescent="0.35">
      <c r="A51" s="1">
        <f t="shared" ca="1" si="0"/>
        <v>46142.55263888889</v>
      </c>
      <c r="B51" s="1">
        <f t="shared" ca="1" si="1"/>
        <v>46159.939212962963</v>
      </c>
      <c r="F51">
        <v>2026</v>
      </c>
      <c r="G51">
        <f ca="1"/>
        <v>5</v>
      </c>
      <c r="H51">
        <f t="shared" ca="1" si="2"/>
        <v>0</v>
      </c>
      <c r="I51">
        <f ca="1"/>
        <v>13</v>
      </c>
      <c r="J51">
        <f ca="1"/>
        <v>15</v>
      </c>
      <c r="K51">
        <f ca="1"/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C67DF-6779-4A2F-90EB-7A2BBCE82DB1}">
  <dimension ref="A1:Q51"/>
  <sheetViews>
    <sheetView tabSelected="1" topLeftCell="A34" workbookViewId="0">
      <selection activeCell="F52" sqref="F52"/>
    </sheetView>
  </sheetViews>
  <sheetFormatPr defaultRowHeight="14.5" x14ac:dyDescent="0.35"/>
  <cols>
    <col min="1" max="1" width="18.6328125" style="1" bestFit="1" customWidth="1"/>
    <col min="12" max="12" width="4.81640625" bestFit="1" customWidth="1"/>
    <col min="13" max="13" width="6.453125" bestFit="1" customWidth="1"/>
    <col min="14" max="14" width="4" bestFit="1" customWidth="1"/>
    <col min="15" max="15" width="4.81640625" bestFit="1" customWidth="1"/>
    <col min="16" max="16" width="4" bestFit="1" customWidth="1"/>
    <col min="17" max="17" width="3.453125" bestFit="1" customWidth="1"/>
  </cols>
  <sheetData>
    <row r="1" spans="1:17" x14ac:dyDescent="0.35">
      <c r="A1" s="1" t="s">
        <v>8</v>
      </c>
      <c r="B1" t="s">
        <v>9</v>
      </c>
      <c r="C1" t="s">
        <v>10</v>
      </c>
      <c r="L1" t="s">
        <v>7</v>
      </c>
      <c r="M1" t="s">
        <v>2</v>
      </c>
      <c r="N1" t="s">
        <v>3</v>
      </c>
      <c r="O1" t="s">
        <v>4</v>
      </c>
      <c r="P1" t="s">
        <v>5</v>
      </c>
      <c r="Q1" t="s">
        <v>6</v>
      </c>
    </row>
    <row r="2" spans="1:17" x14ac:dyDescent="0.35">
      <c r="A2" s="1">
        <f ca="1">DATE(L2,M2,N2)+TIME(O2,P2,Q2)</f>
        <v>46025.176840277774</v>
      </c>
      <c r="B2" cm="1">
        <f t="array" aca="1" ref="B2:B51" ca="1">_xlfn.RANDARRAY(50,1,0,100,TRUE)</f>
        <v>26</v>
      </c>
      <c r="C2">
        <v>35</v>
      </c>
      <c r="L2">
        <v>2026</v>
      </c>
      <c r="M2" cm="1">
        <f t="array" aca="1" ref="M2:M51" ca="1">_xlfn.RANDARRAY(50,1,0,12,TRUE)</f>
        <v>1</v>
      </c>
      <c r="N2">
        <f ca="1">RANDBETWEEN(0,DAY(EOMONTH(DATE(YEAR(TODAY()), M2, 1), 0)))</f>
        <v>3</v>
      </c>
      <c r="O2" cm="1">
        <f t="array" aca="1" ref="O2:Q51" ca="1">_xlfn.RANDARRAY(50,3,0,60,TRUE)</f>
        <v>4</v>
      </c>
      <c r="P2">
        <f ca="1"/>
        <v>14</v>
      </c>
      <c r="Q2">
        <f ca="1"/>
        <v>39</v>
      </c>
    </row>
    <row r="3" spans="1:17" x14ac:dyDescent="0.35">
      <c r="A3" s="1">
        <f t="shared" ref="A3:A51" ca="1" si="0">DATE(L3,M3,N3)+TIME(O3,P3,Q3)</f>
        <v>46131.627025462964</v>
      </c>
      <c r="B3">
        <f ca="1"/>
        <v>55</v>
      </c>
      <c r="C3">
        <v>35</v>
      </c>
      <c r="L3">
        <v>2026</v>
      </c>
      <c r="M3">
        <f ca="1"/>
        <v>4</v>
      </c>
      <c r="N3">
        <f t="shared" ref="N3:N51" ca="1" si="1">RANDBETWEEN(0,DAY(EOMONTH(DATE(YEAR(TODAY()), M3, 1), 0)))</f>
        <v>19</v>
      </c>
      <c r="O3">
        <f ca="1"/>
        <v>39</v>
      </c>
      <c r="P3">
        <f ca="1"/>
        <v>2</v>
      </c>
      <c r="Q3">
        <f ca="1"/>
        <v>55</v>
      </c>
    </row>
    <row r="4" spans="1:17" x14ac:dyDescent="0.35">
      <c r="A4" s="1">
        <f t="shared" ca="1" si="0"/>
        <v>46173.94809027778</v>
      </c>
      <c r="B4">
        <f ca="1"/>
        <v>34</v>
      </c>
      <c r="C4">
        <v>35</v>
      </c>
      <c r="L4">
        <v>2026</v>
      </c>
      <c r="M4">
        <f ca="1"/>
        <v>5</v>
      </c>
      <c r="N4">
        <f t="shared" ca="1" si="1"/>
        <v>31</v>
      </c>
      <c r="O4">
        <f ca="1"/>
        <v>46</v>
      </c>
      <c r="P4">
        <f ca="1"/>
        <v>45</v>
      </c>
      <c r="Q4">
        <f ca="1"/>
        <v>15</v>
      </c>
    </row>
    <row r="5" spans="1:17" x14ac:dyDescent="0.35">
      <c r="A5" s="1">
        <f t="shared" ca="1" si="0"/>
        <v>46174.662962962961</v>
      </c>
      <c r="B5">
        <f ca="1"/>
        <v>93</v>
      </c>
      <c r="C5">
        <v>35</v>
      </c>
      <c r="L5">
        <v>2026</v>
      </c>
      <c r="M5">
        <f ca="1"/>
        <v>6</v>
      </c>
      <c r="N5">
        <f t="shared" ca="1" si="1"/>
        <v>1</v>
      </c>
      <c r="O5">
        <f ca="1"/>
        <v>15</v>
      </c>
      <c r="P5">
        <f ca="1"/>
        <v>54</v>
      </c>
      <c r="Q5">
        <f ca="1"/>
        <v>40</v>
      </c>
    </row>
    <row r="6" spans="1:17" x14ac:dyDescent="0.35">
      <c r="A6" s="1">
        <f t="shared" ca="1" si="0"/>
        <v>45993.166284722225</v>
      </c>
      <c r="B6">
        <f ca="1"/>
        <v>31</v>
      </c>
      <c r="C6">
        <v>35</v>
      </c>
      <c r="L6">
        <v>2026</v>
      </c>
      <c r="M6">
        <f ca="1"/>
        <v>0</v>
      </c>
      <c r="N6">
        <f t="shared" ca="1" si="1"/>
        <v>2</v>
      </c>
      <c r="O6">
        <f ca="1"/>
        <v>27</v>
      </c>
      <c r="P6">
        <f ca="1"/>
        <v>59</v>
      </c>
      <c r="Q6">
        <f ca="1"/>
        <v>27</v>
      </c>
    </row>
    <row r="7" spans="1:17" x14ac:dyDescent="0.35">
      <c r="A7" s="1">
        <f t="shared" ca="1" si="0"/>
        <v>46275.023726851854</v>
      </c>
      <c r="B7">
        <f ca="1"/>
        <v>42</v>
      </c>
      <c r="C7">
        <v>35</v>
      </c>
      <c r="L7">
        <v>2026</v>
      </c>
      <c r="M7">
        <f ca="1"/>
        <v>9</v>
      </c>
      <c r="N7">
        <f t="shared" ca="1" si="1"/>
        <v>10</v>
      </c>
      <c r="O7">
        <f ca="1"/>
        <v>48</v>
      </c>
      <c r="P7">
        <f ca="1"/>
        <v>34</v>
      </c>
      <c r="Q7">
        <f ca="1"/>
        <v>10</v>
      </c>
    </row>
    <row r="8" spans="1:17" x14ac:dyDescent="0.35">
      <c r="A8" s="1">
        <f t="shared" ca="1" si="0"/>
        <v>46076.450520833336</v>
      </c>
      <c r="B8">
        <f ca="1"/>
        <v>67</v>
      </c>
      <c r="C8">
        <v>35</v>
      </c>
      <c r="L8">
        <v>2026</v>
      </c>
      <c r="M8">
        <f ca="1"/>
        <v>2</v>
      </c>
      <c r="N8">
        <f t="shared" ca="1" si="1"/>
        <v>23</v>
      </c>
      <c r="O8">
        <f ca="1"/>
        <v>58</v>
      </c>
      <c r="P8">
        <f ca="1"/>
        <v>48</v>
      </c>
      <c r="Q8">
        <f ca="1"/>
        <v>45</v>
      </c>
    </row>
    <row r="9" spans="1:17" x14ac:dyDescent="0.35">
      <c r="A9" s="1">
        <f t="shared" ca="1" si="0"/>
        <v>46342.339791666665</v>
      </c>
      <c r="B9">
        <f ca="1"/>
        <v>52</v>
      </c>
      <c r="C9">
        <v>35</v>
      </c>
      <c r="L9">
        <v>2026</v>
      </c>
      <c r="M9">
        <f ca="1"/>
        <v>11</v>
      </c>
      <c r="N9">
        <f t="shared" ca="1" si="1"/>
        <v>16</v>
      </c>
      <c r="O9">
        <f ca="1"/>
        <v>56</v>
      </c>
      <c r="P9">
        <f ca="1"/>
        <v>9</v>
      </c>
      <c r="Q9">
        <f ca="1"/>
        <v>18</v>
      </c>
    </row>
    <row r="10" spans="1:17" x14ac:dyDescent="0.35">
      <c r="A10" s="1">
        <f t="shared" ca="1" si="0"/>
        <v>46232.9372337963</v>
      </c>
      <c r="B10">
        <f ca="1"/>
        <v>71</v>
      </c>
      <c r="C10">
        <v>35</v>
      </c>
      <c r="L10">
        <v>2026</v>
      </c>
      <c r="M10">
        <f ca="1"/>
        <v>7</v>
      </c>
      <c r="N10">
        <f t="shared" ca="1" si="1"/>
        <v>29</v>
      </c>
      <c r="O10">
        <f ca="1"/>
        <v>22</v>
      </c>
      <c r="P10">
        <f ca="1"/>
        <v>29</v>
      </c>
      <c r="Q10">
        <f ca="1"/>
        <v>37</v>
      </c>
    </row>
    <row r="11" spans="1:17" x14ac:dyDescent="0.35">
      <c r="A11" s="1">
        <f t="shared" ca="1" si="0"/>
        <v>46360.450555555559</v>
      </c>
      <c r="B11">
        <f ca="1"/>
        <v>92</v>
      </c>
      <c r="C11">
        <v>35</v>
      </c>
      <c r="L11">
        <v>2026</v>
      </c>
      <c r="M11">
        <f ca="1"/>
        <v>12</v>
      </c>
      <c r="N11">
        <f t="shared" ca="1" si="1"/>
        <v>4</v>
      </c>
      <c r="O11">
        <f ca="1"/>
        <v>58</v>
      </c>
      <c r="P11">
        <f ca="1"/>
        <v>48</v>
      </c>
      <c r="Q11">
        <f ca="1"/>
        <v>48</v>
      </c>
    </row>
    <row r="12" spans="1:17" x14ac:dyDescent="0.35">
      <c r="A12" s="1">
        <f t="shared" ca="1" si="0"/>
        <v>46234.779583333337</v>
      </c>
      <c r="B12">
        <f ca="1"/>
        <v>51</v>
      </c>
      <c r="C12">
        <v>35</v>
      </c>
      <c r="L12">
        <v>2026</v>
      </c>
      <c r="M12">
        <f ca="1"/>
        <v>8</v>
      </c>
      <c r="N12">
        <f t="shared" ca="1" si="1"/>
        <v>0</v>
      </c>
      <c r="O12">
        <f ca="1"/>
        <v>42</v>
      </c>
      <c r="P12">
        <f ca="1"/>
        <v>42</v>
      </c>
      <c r="Q12">
        <f ca="1"/>
        <v>36</v>
      </c>
    </row>
    <row r="13" spans="1:17" x14ac:dyDescent="0.35">
      <c r="A13" s="1">
        <f t="shared" ca="1" si="0"/>
        <v>46087.637291666666</v>
      </c>
      <c r="B13">
        <f ca="1"/>
        <v>64</v>
      </c>
      <c r="C13">
        <v>35</v>
      </c>
      <c r="L13">
        <v>2026</v>
      </c>
      <c r="M13">
        <f ca="1"/>
        <v>3</v>
      </c>
      <c r="N13">
        <f t="shared" ca="1" si="1"/>
        <v>6</v>
      </c>
      <c r="O13">
        <f ca="1"/>
        <v>39</v>
      </c>
      <c r="P13">
        <f ca="1"/>
        <v>17</v>
      </c>
      <c r="Q13">
        <f ca="1"/>
        <v>42</v>
      </c>
    </row>
    <row r="14" spans="1:17" x14ac:dyDescent="0.35">
      <c r="A14" s="1">
        <f t="shared" ca="1" si="0"/>
        <v>46113.207546296297</v>
      </c>
      <c r="B14">
        <f ca="1"/>
        <v>1</v>
      </c>
      <c r="C14">
        <v>35</v>
      </c>
      <c r="L14">
        <v>2026</v>
      </c>
      <c r="M14">
        <f ca="1"/>
        <v>4</v>
      </c>
      <c r="N14">
        <f t="shared" ca="1" si="1"/>
        <v>1</v>
      </c>
      <c r="O14">
        <f ca="1"/>
        <v>52</v>
      </c>
      <c r="P14">
        <f ca="1"/>
        <v>58</v>
      </c>
      <c r="Q14">
        <f ca="1"/>
        <v>52</v>
      </c>
    </row>
    <row r="15" spans="1:17" x14ac:dyDescent="0.35">
      <c r="A15" s="1">
        <f t="shared" ca="1" si="0"/>
        <v>46145.3125</v>
      </c>
      <c r="B15">
        <f ca="1"/>
        <v>80</v>
      </c>
      <c r="C15">
        <v>35</v>
      </c>
      <c r="L15">
        <v>2026</v>
      </c>
      <c r="M15">
        <f ca="1"/>
        <v>5</v>
      </c>
      <c r="N15">
        <f t="shared" ca="1" si="1"/>
        <v>3</v>
      </c>
      <c r="O15">
        <f ca="1"/>
        <v>7</v>
      </c>
      <c r="P15">
        <f ca="1"/>
        <v>29</v>
      </c>
      <c r="Q15">
        <f ca="1"/>
        <v>60</v>
      </c>
    </row>
    <row r="16" spans="1:17" x14ac:dyDescent="0.35">
      <c r="A16" s="1">
        <f t="shared" ca="1" si="0"/>
        <v>46374.646909722222</v>
      </c>
      <c r="B16">
        <f ca="1"/>
        <v>78</v>
      </c>
      <c r="C16">
        <v>35</v>
      </c>
      <c r="L16">
        <v>2026</v>
      </c>
      <c r="M16">
        <f ca="1"/>
        <v>12</v>
      </c>
      <c r="N16">
        <f t="shared" ca="1" si="1"/>
        <v>18</v>
      </c>
      <c r="O16">
        <f ca="1"/>
        <v>15</v>
      </c>
      <c r="P16">
        <f ca="1"/>
        <v>31</v>
      </c>
      <c r="Q16">
        <f ca="1"/>
        <v>33</v>
      </c>
    </row>
    <row r="17" spans="1:17" x14ac:dyDescent="0.35">
      <c r="A17" s="1">
        <f t="shared" ca="1" si="0"/>
        <v>46384.978113425925</v>
      </c>
      <c r="B17">
        <f ca="1"/>
        <v>70</v>
      </c>
      <c r="C17">
        <v>35</v>
      </c>
      <c r="L17">
        <v>2026</v>
      </c>
      <c r="M17">
        <f ca="1"/>
        <v>12</v>
      </c>
      <c r="N17">
        <f t="shared" ca="1" si="1"/>
        <v>28</v>
      </c>
      <c r="O17">
        <f ca="1"/>
        <v>47</v>
      </c>
      <c r="P17">
        <f ca="1"/>
        <v>28</v>
      </c>
      <c r="Q17">
        <f ca="1"/>
        <v>29</v>
      </c>
    </row>
    <row r="18" spans="1:17" x14ac:dyDescent="0.35">
      <c r="A18" s="1">
        <f t="shared" ca="1" si="0"/>
        <v>46029.779641203706</v>
      </c>
      <c r="B18">
        <f ca="1"/>
        <v>41</v>
      </c>
      <c r="C18">
        <v>35</v>
      </c>
      <c r="L18">
        <v>2026</v>
      </c>
      <c r="M18">
        <f ca="1"/>
        <v>1</v>
      </c>
      <c r="N18">
        <f t="shared" ca="1" si="1"/>
        <v>7</v>
      </c>
      <c r="O18">
        <f ca="1"/>
        <v>42</v>
      </c>
      <c r="P18">
        <f ca="1"/>
        <v>42</v>
      </c>
      <c r="Q18">
        <f ca="1"/>
        <v>41</v>
      </c>
    </row>
    <row r="19" spans="1:17" x14ac:dyDescent="0.35">
      <c r="A19" s="1">
        <f t="shared" ca="1" si="0"/>
        <v>46025.16128472222</v>
      </c>
      <c r="B19">
        <f ca="1"/>
        <v>78</v>
      </c>
      <c r="C19">
        <v>35</v>
      </c>
      <c r="L19">
        <v>2026</v>
      </c>
      <c r="M19">
        <f ca="1"/>
        <v>1</v>
      </c>
      <c r="N19">
        <f t="shared" ca="1" si="1"/>
        <v>3</v>
      </c>
      <c r="O19">
        <f ca="1"/>
        <v>51</v>
      </c>
      <c r="P19">
        <f ca="1"/>
        <v>52</v>
      </c>
      <c r="Q19">
        <f ca="1"/>
        <v>15</v>
      </c>
    </row>
    <row r="20" spans="1:17" x14ac:dyDescent="0.35">
      <c r="A20" s="1">
        <f t="shared" ca="1" si="0"/>
        <v>45991.056712962964</v>
      </c>
      <c r="B20">
        <f ca="1"/>
        <v>48</v>
      </c>
      <c r="C20">
        <v>35</v>
      </c>
      <c r="L20">
        <v>2026</v>
      </c>
      <c r="M20">
        <f ca="1"/>
        <v>0</v>
      </c>
      <c r="N20">
        <f t="shared" ca="1" si="1"/>
        <v>0</v>
      </c>
      <c r="O20">
        <f ca="1"/>
        <v>1</v>
      </c>
      <c r="P20">
        <f ca="1"/>
        <v>21</v>
      </c>
      <c r="Q20">
        <f ca="1"/>
        <v>40</v>
      </c>
    </row>
    <row r="21" spans="1:17" x14ac:dyDescent="0.35">
      <c r="A21" s="1">
        <f t="shared" ca="1" si="0"/>
        <v>46303.34170138889</v>
      </c>
      <c r="B21">
        <f ca="1"/>
        <v>25</v>
      </c>
      <c r="C21">
        <v>35</v>
      </c>
      <c r="L21">
        <v>2026</v>
      </c>
      <c r="M21">
        <f ca="1"/>
        <v>10</v>
      </c>
      <c r="N21">
        <f t="shared" ca="1" si="1"/>
        <v>8</v>
      </c>
      <c r="O21">
        <f ca="1"/>
        <v>8</v>
      </c>
      <c r="P21">
        <f ca="1"/>
        <v>12</v>
      </c>
      <c r="Q21">
        <f ca="1"/>
        <v>3</v>
      </c>
    </row>
    <row r="22" spans="1:17" x14ac:dyDescent="0.35">
      <c r="A22" s="1">
        <f t="shared" ca="1" si="0"/>
        <v>46147.474768518521</v>
      </c>
      <c r="B22">
        <f ca="1"/>
        <v>45</v>
      </c>
      <c r="C22">
        <v>35</v>
      </c>
      <c r="L22">
        <v>2026</v>
      </c>
      <c r="M22">
        <f ca="1"/>
        <v>5</v>
      </c>
      <c r="N22">
        <f t="shared" ca="1" si="1"/>
        <v>5</v>
      </c>
      <c r="O22">
        <f ca="1"/>
        <v>11</v>
      </c>
      <c r="P22">
        <f ca="1"/>
        <v>23</v>
      </c>
      <c r="Q22">
        <f ca="1"/>
        <v>40</v>
      </c>
    </row>
    <row r="23" spans="1:17" x14ac:dyDescent="0.35">
      <c r="A23" s="1">
        <f t="shared" ca="1" si="0"/>
        <v>46175.601944444446</v>
      </c>
      <c r="B23">
        <f ca="1"/>
        <v>61</v>
      </c>
      <c r="C23">
        <v>35</v>
      </c>
      <c r="L23">
        <v>2026</v>
      </c>
      <c r="M23">
        <f ca="1"/>
        <v>6</v>
      </c>
      <c r="N23">
        <f t="shared" ca="1" si="1"/>
        <v>2</v>
      </c>
      <c r="O23">
        <f ca="1"/>
        <v>14</v>
      </c>
      <c r="P23">
        <f ca="1"/>
        <v>26</v>
      </c>
      <c r="Q23">
        <f ca="1"/>
        <v>48</v>
      </c>
    </row>
    <row r="24" spans="1:17" x14ac:dyDescent="0.35">
      <c r="A24" s="1">
        <f t="shared" ca="1" si="0"/>
        <v>46064.433749999997</v>
      </c>
      <c r="B24">
        <f ca="1"/>
        <v>81</v>
      </c>
      <c r="C24">
        <v>35</v>
      </c>
      <c r="L24">
        <v>2026</v>
      </c>
      <c r="M24">
        <f ca="1"/>
        <v>2</v>
      </c>
      <c r="N24">
        <f t="shared" ca="1" si="1"/>
        <v>11</v>
      </c>
      <c r="O24">
        <f ca="1"/>
        <v>58</v>
      </c>
      <c r="P24">
        <f ca="1"/>
        <v>24</v>
      </c>
      <c r="Q24">
        <f ca="1"/>
        <v>36</v>
      </c>
    </row>
    <row r="25" spans="1:17" x14ac:dyDescent="0.35">
      <c r="A25" s="1">
        <f t="shared" ca="1" si="0"/>
        <v>46354.033645833333</v>
      </c>
      <c r="B25">
        <f ca="1"/>
        <v>9</v>
      </c>
      <c r="C25">
        <v>35</v>
      </c>
      <c r="L25">
        <v>2026</v>
      </c>
      <c r="M25">
        <f ca="1"/>
        <v>11</v>
      </c>
      <c r="N25">
        <f t="shared" ca="1" si="1"/>
        <v>28</v>
      </c>
      <c r="O25">
        <f ca="1"/>
        <v>24</v>
      </c>
      <c r="P25">
        <f ca="1"/>
        <v>48</v>
      </c>
      <c r="Q25">
        <f ca="1"/>
        <v>27</v>
      </c>
    </row>
    <row r="26" spans="1:17" x14ac:dyDescent="0.35">
      <c r="A26" s="1">
        <f t="shared" ca="1" si="0"/>
        <v>46091.255555555559</v>
      </c>
      <c r="B26">
        <f ca="1"/>
        <v>16</v>
      </c>
      <c r="C26">
        <v>35</v>
      </c>
      <c r="L26">
        <v>2026</v>
      </c>
      <c r="M26">
        <f ca="1"/>
        <v>3</v>
      </c>
      <c r="N26">
        <f t="shared" ca="1" si="1"/>
        <v>10</v>
      </c>
      <c r="O26">
        <f ca="1"/>
        <v>30</v>
      </c>
      <c r="P26">
        <f ca="1"/>
        <v>8</v>
      </c>
      <c r="Q26">
        <f ca="1"/>
        <v>0</v>
      </c>
    </row>
    <row r="27" spans="1:17" x14ac:dyDescent="0.35">
      <c r="A27" s="1">
        <f t="shared" ca="1" si="0"/>
        <v>46250.030798611115</v>
      </c>
      <c r="B27">
        <f ca="1"/>
        <v>7</v>
      </c>
      <c r="C27">
        <v>35</v>
      </c>
      <c r="L27">
        <v>2026</v>
      </c>
      <c r="M27">
        <f ca="1"/>
        <v>8</v>
      </c>
      <c r="N27">
        <f t="shared" ca="1" si="1"/>
        <v>16</v>
      </c>
      <c r="O27">
        <f ca="1"/>
        <v>24</v>
      </c>
      <c r="P27">
        <f ca="1"/>
        <v>44</v>
      </c>
      <c r="Q27">
        <f ca="1"/>
        <v>21</v>
      </c>
    </row>
    <row r="28" spans="1:17" x14ac:dyDescent="0.35">
      <c r="A28" s="1">
        <f t="shared" ca="1" si="0"/>
        <v>46332.210069444445</v>
      </c>
      <c r="B28">
        <f ca="1"/>
        <v>10</v>
      </c>
      <c r="C28">
        <v>35</v>
      </c>
      <c r="L28">
        <v>2026</v>
      </c>
      <c r="M28">
        <f ca="1"/>
        <v>11</v>
      </c>
      <c r="N28">
        <f t="shared" ca="1" si="1"/>
        <v>6</v>
      </c>
      <c r="O28">
        <f ca="1"/>
        <v>5</v>
      </c>
      <c r="P28">
        <f ca="1"/>
        <v>2</v>
      </c>
      <c r="Q28">
        <f ca="1"/>
        <v>30</v>
      </c>
    </row>
    <row r="29" spans="1:17" x14ac:dyDescent="0.35">
      <c r="A29" s="1">
        <f t="shared" ca="1" si="0"/>
        <v>46336.695567129631</v>
      </c>
      <c r="B29">
        <f ca="1"/>
        <v>48</v>
      </c>
      <c r="C29">
        <v>35</v>
      </c>
      <c r="L29">
        <v>2026</v>
      </c>
      <c r="M29">
        <f ca="1"/>
        <v>11</v>
      </c>
      <c r="N29">
        <f t="shared" ca="1" si="1"/>
        <v>10</v>
      </c>
      <c r="O29">
        <f ca="1"/>
        <v>40</v>
      </c>
      <c r="P29">
        <f ca="1"/>
        <v>41</v>
      </c>
      <c r="Q29">
        <f ca="1"/>
        <v>37</v>
      </c>
    </row>
    <row r="30" spans="1:17" x14ac:dyDescent="0.35">
      <c r="A30" s="1">
        <f t="shared" ca="1" si="0"/>
        <v>46150.9846875</v>
      </c>
      <c r="B30">
        <f ca="1"/>
        <v>93</v>
      </c>
      <c r="C30">
        <v>35</v>
      </c>
      <c r="L30">
        <v>2026</v>
      </c>
      <c r="M30">
        <f ca="1"/>
        <v>5</v>
      </c>
      <c r="N30">
        <f t="shared" ca="1" si="1"/>
        <v>8</v>
      </c>
      <c r="O30">
        <f ca="1"/>
        <v>23</v>
      </c>
      <c r="P30">
        <f ca="1"/>
        <v>37</v>
      </c>
      <c r="Q30">
        <f ca="1"/>
        <v>57</v>
      </c>
    </row>
    <row r="31" spans="1:17" x14ac:dyDescent="0.35">
      <c r="A31" s="1">
        <f t="shared" ca="1" si="0"/>
        <v>46376.603634259256</v>
      </c>
      <c r="B31">
        <f ca="1"/>
        <v>18</v>
      </c>
      <c r="C31">
        <v>35</v>
      </c>
      <c r="L31">
        <v>2026</v>
      </c>
      <c r="M31">
        <f ca="1"/>
        <v>12</v>
      </c>
      <c r="N31">
        <f t="shared" ca="1" si="1"/>
        <v>20</v>
      </c>
      <c r="O31">
        <f ca="1"/>
        <v>14</v>
      </c>
      <c r="P31">
        <f ca="1"/>
        <v>29</v>
      </c>
      <c r="Q31">
        <f ca="1"/>
        <v>14</v>
      </c>
    </row>
    <row r="32" spans="1:17" x14ac:dyDescent="0.35">
      <c r="A32" s="1">
        <f t="shared" ca="1" si="0"/>
        <v>46197.101909722223</v>
      </c>
      <c r="B32">
        <f ca="1"/>
        <v>95</v>
      </c>
      <c r="C32">
        <v>35</v>
      </c>
      <c r="L32">
        <v>2026</v>
      </c>
      <c r="M32">
        <f ca="1"/>
        <v>6</v>
      </c>
      <c r="N32">
        <f t="shared" ca="1" si="1"/>
        <v>24</v>
      </c>
      <c r="O32">
        <f ca="1"/>
        <v>50</v>
      </c>
      <c r="P32">
        <f ca="1"/>
        <v>26</v>
      </c>
      <c r="Q32">
        <f ca="1"/>
        <v>45</v>
      </c>
    </row>
    <row r="33" spans="1:17" x14ac:dyDescent="0.35">
      <c r="A33" s="1">
        <f t="shared" ca="1" si="0"/>
        <v>46340.502847222226</v>
      </c>
      <c r="B33">
        <f ca="1"/>
        <v>71</v>
      </c>
      <c r="C33">
        <v>35</v>
      </c>
      <c r="L33">
        <v>2026</v>
      </c>
      <c r="M33">
        <f ca="1"/>
        <v>11</v>
      </c>
      <c r="N33">
        <f t="shared" ca="1" si="1"/>
        <v>14</v>
      </c>
      <c r="O33">
        <f ca="1"/>
        <v>12</v>
      </c>
      <c r="P33">
        <f ca="1"/>
        <v>4</v>
      </c>
      <c r="Q33">
        <f ca="1"/>
        <v>6</v>
      </c>
    </row>
    <row r="34" spans="1:17" x14ac:dyDescent="0.35">
      <c r="A34" s="1">
        <f t="shared" ca="1" si="0"/>
        <v>46326.222199074073</v>
      </c>
      <c r="B34">
        <f ca="1"/>
        <v>39</v>
      </c>
      <c r="C34">
        <v>35</v>
      </c>
      <c r="L34">
        <v>2026</v>
      </c>
      <c r="M34">
        <f ca="1"/>
        <v>11</v>
      </c>
      <c r="N34">
        <f t="shared" ca="1" si="1"/>
        <v>0</v>
      </c>
      <c r="O34">
        <f ca="1"/>
        <v>5</v>
      </c>
      <c r="P34">
        <f ca="1"/>
        <v>19</v>
      </c>
      <c r="Q34">
        <f ca="1"/>
        <v>58</v>
      </c>
    </row>
    <row r="35" spans="1:17" x14ac:dyDescent="0.35">
      <c r="A35" s="1">
        <f t="shared" ca="1" si="0"/>
        <v>46219.782650462963</v>
      </c>
      <c r="B35">
        <f ca="1"/>
        <v>10</v>
      </c>
      <c r="C35">
        <v>35</v>
      </c>
      <c r="L35">
        <v>2026</v>
      </c>
      <c r="M35">
        <f ca="1"/>
        <v>7</v>
      </c>
      <c r="N35">
        <f t="shared" ca="1" si="1"/>
        <v>16</v>
      </c>
      <c r="O35">
        <f ca="1"/>
        <v>18</v>
      </c>
      <c r="P35">
        <f ca="1"/>
        <v>47</v>
      </c>
      <c r="Q35">
        <f ca="1"/>
        <v>1</v>
      </c>
    </row>
    <row r="36" spans="1:17" x14ac:dyDescent="0.35">
      <c r="A36" s="1">
        <f t="shared" ca="1" si="0"/>
        <v>46219.810740740744</v>
      </c>
      <c r="B36">
        <f ca="1"/>
        <v>47</v>
      </c>
      <c r="C36">
        <v>35</v>
      </c>
      <c r="L36">
        <v>2026</v>
      </c>
      <c r="M36">
        <f ca="1"/>
        <v>7</v>
      </c>
      <c r="N36">
        <f t="shared" ca="1" si="1"/>
        <v>16</v>
      </c>
      <c r="O36">
        <f ca="1"/>
        <v>19</v>
      </c>
      <c r="P36">
        <f ca="1"/>
        <v>27</v>
      </c>
      <c r="Q36">
        <f ca="1"/>
        <v>28</v>
      </c>
    </row>
    <row r="37" spans="1:17" x14ac:dyDescent="0.35">
      <c r="A37" s="1">
        <f t="shared" ca="1" si="0"/>
        <v>46271.425347222219</v>
      </c>
      <c r="B37">
        <f ca="1"/>
        <v>42</v>
      </c>
      <c r="C37">
        <v>35</v>
      </c>
      <c r="L37">
        <v>2026</v>
      </c>
      <c r="M37">
        <f ca="1"/>
        <v>9</v>
      </c>
      <c r="N37">
        <f t="shared" ca="1" si="1"/>
        <v>6</v>
      </c>
      <c r="O37">
        <f ca="1"/>
        <v>58</v>
      </c>
      <c r="P37">
        <f ca="1"/>
        <v>12</v>
      </c>
      <c r="Q37">
        <f ca="1"/>
        <v>30</v>
      </c>
    </row>
    <row r="38" spans="1:17" x14ac:dyDescent="0.35">
      <c r="A38" s="1">
        <f t="shared" ca="1" si="0"/>
        <v>46062.399467592593</v>
      </c>
      <c r="B38">
        <f ca="1"/>
        <v>26</v>
      </c>
      <c r="C38">
        <v>35</v>
      </c>
      <c r="L38">
        <v>2026</v>
      </c>
      <c r="M38">
        <f ca="1"/>
        <v>2</v>
      </c>
      <c r="N38">
        <f t="shared" ca="1" si="1"/>
        <v>9</v>
      </c>
      <c r="O38">
        <f ca="1"/>
        <v>57</v>
      </c>
      <c r="P38">
        <f ca="1"/>
        <v>35</v>
      </c>
      <c r="Q38">
        <f ca="1"/>
        <v>14</v>
      </c>
    </row>
    <row r="39" spans="1:17" x14ac:dyDescent="0.35">
      <c r="A39" s="1">
        <f t="shared" ca="1" si="0"/>
        <v>46308.429120370369</v>
      </c>
      <c r="B39">
        <f ca="1"/>
        <v>6</v>
      </c>
      <c r="C39">
        <v>35</v>
      </c>
      <c r="L39">
        <v>2026</v>
      </c>
      <c r="M39">
        <f ca="1"/>
        <v>10</v>
      </c>
      <c r="N39">
        <f t="shared" ca="1" si="1"/>
        <v>13</v>
      </c>
      <c r="O39">
        <f ca="1"/>
        <v>58</v>
      </c>
      <c r="P39">
        <f ca="1"/>
        <v>17</v>
      </c>
      <c r="Q39">
        <f ca="1"/>
        <v>56</v>
      </c>
    </row>
    <row r="40" spans="1:17" x14ac:dyDescent="0.35">
      <c r="A40" s="1">
        <f t="shared" ca="1" si="0"/>
        <v>46360.041967592595</v>
      </c>
      <c r="B40">
        <f ca="1"/>
        <v>62</v>
      </c>
      <c r="C40">
        <v>35</v>
      </c>
      <c r="L40">
        <v>2026</v>
      </c>
      <c r="M40">
        <f ca="1"/>
        <v>12</v>
      </c>
      <c r="N40">
        <f t="shared" ca="1" si="1"/>
        <v>4</v>
      </c>
      <c r="O40">
        <f ca="1"/>
        <v>49</v>
      </c>
      <c r="P40">
        <f ca="1"/>
        <v>0</v>
      </c>
      <c r="Q40">
        <f ca="1"/>
        <v>26</v>
      </c>
    </row>
    <row r="41" spans="1:17" x14ac:dyDescent="0.35">
      <c r="A41" s="1">
        <f t="shared" ca="1" si="0"/>
        <v>46125.739259259259</v>
      </c>
      <c r="B41">
        <f ca="1"/>
        <v>98</v>
      </c>
      <c r="C41">
        <v>35</v>
      </c>
      <c r="L41">
        <v>2026</v>
      </c>
      <c r="M41">
        <f ca="1"/>
        <v>4</v>
      </c>
      <c r="N41">
        <f t="shared" ca="1" si="1"/>
        <v>13</v>
      </c>
      <c r="O41">
        <f ca="1"/>
        <v>41</v>
      </c>
      <c r="P41">
        <f ca="1"/>
        <v>44</v>
      </c>
      <c r="Q41">
        <f ca="1"/>
        <v>32</v>
      </c>
    </row>
    <row r="42" spans="1:17" x14ac:dyDescent="0.35">
      <c r="A42" s="1">
        <f t="shared" ca="1" si="0"/>
        <v>46025.214571759258</v>
      </c>
      <c r="B42">
        <f ca="1"/>
        <v>89</v>
      </c>
      <c r="C42">
        <v>35</v>
      </c>
      <c r="L42">
        <v>2026</v>
      </c>
      <c r="M42">
        <f ca="1"/>
        <v>1</v>
      </c>
      <c r="N42">
        <f t="shared" ca="1" si="1"/>
        <v>3</v>
      </c>
      <c r="O42">
        <f ca="1"/>
        <v>53</v>
      </c>
      <c r="P42">
        <f ca="1"/>
        <v>8</v>
      </c>
      <c r="Q42">
        <f ca="1"/>
        <v>59</v>
      </c>
    </row>
    <row r="43" spans="1:17" x14ac:dyDescent="0.35">
      <c r="A43" s="1">
        <f t="shared" ca="1" si="0"/>
        <v>46306.634247685186</v>
      </c>
      <c r="B43">
        <f ca="1"/>
        <v>91</v>
      </c>
      <c r="C43">
        <v>35</v>
      </c>
      <c r="L43">
        <v>2026</v>
      </c>
      <c r="M43">
        <f ca="1"/>
        <v>10</v>
      </c>
      <c r="N43">
        <f t="shared" ca="1" si="1"/>
        <v>11</v>
      </c>
      <c r="O43">
        <f ca="1"/>
        <v>39</v>
      </c>
      <c r="P43">
        <f ca="1"/>
        <v>13</v>
      </c>
      <c r="Q43">
        <f ca="1"/>
        <v>19</v>
      </c>
    </row>
    <row r="44" spans="1:17" x14ac:dyDescent="0.35">
      <c r="A44" s="1">
        <f t="shared" ca="1" si="0"/>
        <v>46284.728356481479</v>
      </c>
      <c r="B44">
        <f ca="1"/>
        <v>35</v>
      </c>
      <c r="C44">
        <v>35</v>
      </c>
      <c r="L44">
        <v>2026</v>
      </c>
      <c r="M44">
        <f ca="1"/>
        <v>9</v>
      </c>
      <c r="N44">
        <f t="shared" ca="1" si="1"/>
        <v>19</v>
      </c>
      <c r="O44">
        <f ca="1"/>
        <v>17</v>
      </c>
      <c r="P44">
        <f ca="1"/>
        <v>28</v>
      </c>
      <c r="Q44">
        <f ca="1"/>
        <v>50</v>
      </c>
    </row>
    <row r="45" spans="1:17" x14ac:dyDescent="0.35">
      <c r="A45" s="1">
        <f t="shared" ca="1" si="0"/>
        <v>46250.228125000001</v>
      </c>
      <c r="B45">
        <f ca="1"/>
        <v>7</v>
      </c>
      <c r="C45">
        <v>35</v>
      </c>
      <c r="L45">
        <v>2026</v>
      </c>
      <c r="M45">
        <f ca="1"/>
        <v>8</v>
      </c>
      <c r="N45">
        <f t="shared" ca="1" si="1"/>
        <v>16</v>
      </c>
      <c r="O45">
        <f ca="1"/>
        <v>29</v>
      </c>
      <c r="P45">
        <f ca="1"/>
        <v>28</v>
      </c>
      <c r="Q45">
        <f ca="1"/>
        <v>30</v>
      </c>
    </row>
    <row r="46" spans="1:17" x14ac:dyDescent="0.35">
      <c r="A46" s="1">
        <f t="shared" ca="1" si="0"/>
        <v>46058.334155092591</v>
      </c>
      <c r="B46">
        <f ca="1"/>
        <v>57</v>
      </c>
      <c r="C46">
        <v>35</v>
      </c>
      <c r="L46">
        <v>2026</v>
      </c>
      <c r="M46">
        <f ca="1"/>
        <v>2</v>
      </c>
      <c r="N46">
        <f t="shared" ca="1" si="1"/>
        <v>5</v>
      </c>
      <c r="O46">
        <f ca="1"/>
        <v>32</v>
      </c>
      <c r="P46">
        <f ca="1"/>
        <v>1</v>
      </c>
      <c r="Q46">
        <f ca="1"/>
        <v>11</v>
      </c>
    </row>
    <row r="47" spans="1:17" x14ac:dyDescent="0.35">
      <c r="A47" s="1">
        <f t="shared" ca="1" si="0"/>
        <v>46167.122928240744</v>
      </c>
      <c r="B47">
        <f ca="1"/>
        <v>89</v>
      </c>
      <c r="C47">
        <v>35</v>
      </c>
      <c r="L47">
        <v>2026</v>
      </c>
      <c r="M47">
        <f ca="1"/>
        <v>5</v>
      </c>
      <c r="N47">
        <f t="shared" ca="1" si="1"/>
        <v>25</v>
      </c>
      <c r="O47">
        <f ca="1"/>
        <v>2</v>
      </c>
      <c r="P47">
        <f ca="1"/>
        <v>57</v>
      </c>
      <c r="Q47">
        <f ca="1"/>
        <v>1</v>
      </c>
    </row>
    <row r="48" spans="1:17" x14ac:dyDescent="0.35">
      <c r="A48" s="1">
        <f t="shared" ca="1" si="0"/>
        <v>46354.348611111112</v>
      </c>
      <c r="B48">
        <f ca="1"/>
        <v>96</v>
      </c>
      <c r="C48">
        <v>35</v>
      </c>
      <c r="L48">
        <v>2026</v>
      </c>
      <c r="M48">
        <f ca="1"/>
        <v>11</v>
      </c>
      <c r="N48">
        <f t="shared" ca="1" si="1"/>
        <v>28</v>
      </c>
      <c r="O48">
        <f ca="1"/>
        <v>8</v>
      </c>
      <c r="P48">
        <f ca="1"/>
        <v>21</v>
      </c>
      <c r="Q48">
        <f ca="1"/>
        <v>60</v>
      </c>
    </row>
    <row r="49" spans="1:17" x14ac:dyDescent="0.35">
      <c r="A49" s="1">
        <f t="shared" ca="1" si="0"/>
        <v>46174.573761574073</v>
      </c>
      <c r="B49">
        <f ca="1"/>
        <v>50</v>
      </c>
      <c r="C49">
        <v>35</v>
      </c>
      <c r="L49">
        <v>2026</v>
      </c>
      <c r="M49">
        <f ca="1"/>
        <v>6</v>
      </c>
      <c r="N49">
        <f t="shared" ca="1" si="1"/>
        <v>1</v>
      </c>
      <c r="O49">
        <f ca="1"/>
        <v>37</v>
      </c>
      <c r="P49">
        <f ca="1"/>
        <v>46</v>
      </c>
      <c r="Q49">
        <f ca="1"/>
        <v>13</v>
      </c>
    </row>
    <row r="50" spans="1:17" x14ac:dyDescent="0.35">
      <c r="A50" s="1">
        <f t="shared" ca="1" si="0"/>
        <v>46088.331319444442</v>
      </c>
      <c r="B50">
        <f ca="1"/>
        <v>43</v>
      </c>
      <c r="C50">
        <v>35</v>
      </c>
      <c r="L50">
        <v>2026</v>
      </c>
      <c r="M50">
        <f ca="1"/>
        <v>3</v>
      </c>
      <c r="N50">
        <f t="shared" ca="1" si="1"/>
        <v>7</v>
      </c>
      <c r="O50">
        <f ca="1"/>
        <v>55</v>
      </c>
      <c r="P50">
        <f ca="1"/>
        <v>57</v>
      </c>
      <c r="Q50">
        <f ca="1"/>
        <v>6</v>
      </c>
    </row>
    <row r="51" spans="1:17" x14ac:dyDescent="0.35">
      <c r="A51" s="1">
        <f t="shared" ca="1" si="0"/>
        <v>46113.625532407408</v>
      </c>
      <c r="B51">
        <f ca="1"/>
        <v>87</v>
      </c>
      <c r="C51">
        <v>35</v>
      </c>
      <c r="L51">
        <v>2026</v>
      </c>
      <c r="M51">
        <f ca="1"/>
        <v>4</v>
      </c>
      <c r="N51">
        <f t="shared" ca="1" si="1"/>
        <v>1</v>
      </c>
      <c r="O51">
        <f ca="1"/>
        <v>38</v>
      </c>
      <c r="P51">
        <f ca="1"/>
        <v>60</v>
      </c>
      <c r="Q51">
        <f ca="1"/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Riaan Coetzee</cp:lastModifiedBy>
  <dcterms:created xsi:type="dcterms:W3CDTF">2015-06-05T18:17:20Z</dcterms:created>
  <dcterms:modified xsi:type="dcterms:W3CDTF">2026-09-29T11:07:00Z</dcterms:modified>
</cp:coreProperties>
</file>