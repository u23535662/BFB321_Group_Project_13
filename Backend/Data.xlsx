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a80aa4daf9ff9bd/UP/Y4/S2/BFB321/Code/BFB_Group/Riaan/"/>
    </mc:Choice>
  </mc:AlternateContent>
  <xr:revisionPtr revIDLastSave="48" documentId="11_F25DC773A252ABDACC104895C19E7EF25ADE58E7" xr6:coauthVersionLast="47" xr6:coauthVersionMax="47" xr10:uidLastSave="{5487DFC2-2566-439E-AF35-DE38A1D13F4C}"/>
  <bookViews>
    <workbookView xWindow="-110" yWindow="-110" windowWidth="25820" windowHeight="139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 a="1"/>
  <c r="I2" i="1" s="1"/>
  <c r="G2" i="1" a="1"/>
  <c r="G2" i="1" s="1"/>
  <c r="H2" i="1" s="1"/>
  <c r="A2" i="1" l="1"/>
  <c r="B2" i="1" s="1"/>
  <c r="H9" i="1"/>
  <c r="A9" i="1" s="1"/>
  <c r="B9" i="1" s="1"/>
  <c r="H41" i="1"/>
  <c r="A41" i="1" s="1"/>
  <c r="B41" i="1" s="1"/>
  <c r="H25" i="1"/>
  <c r="A25" i="1" s="1"/>
  <c r="B25" i="1" s="1"/>
  <c r="H24" i="1"/>
  <c r="A24" i="1" s="1"/>
  <c r="B24" i="1" s="1"/>
  <c r="H8" i="1"/>
  <c r="A8" i="1" s="1"/>
  <c r="B8" i="1" s="1"/>
  <c r="H39" i="1"/>
  <c r="A39" i="1" s="1"/>
  <c r="B39" i="1" s="1"/>
  <c r="H23" i="1"/>
  <c r="A23" i="1" s="1"/>
  <c r="B23" i="1" s="1"/>
  <c r="H7" i="1"/>
  <c r="A7" i="1" s="1"/>
  <c r="B7" i="1" s="1"/>
  <c r="H38" i="1"/>
  <c r="A38" i="1" s="1"/>
  <c r="B38" i="1" s="1"/>
  <c r="H22" i="1"/>
  <c r="A22" i="1" s="1"/>
  <c r="B22" i="1" s="1"/>
  <c r="H6" i="1"/>
  <c r="A6" i="1" s="1"/>
  <c r="B6" i="1" s="1"/>
  <c r="H37" i="1"/>
  <c r="A37" i="1" s="1"/>
  <c r="B37" i="1" s="1"/>
  <c r="H21" i="1"/>
  <c r="A21" i="1" s="1"/>
  <c r="B21" i="1" s="1"/>
  <c r="H5" i="1"/>
  <c r="A5" i="1" s="1"/>
  <c r="B5" i="1" s="1"/>
  <c r="H50" i="1"/>
  <c r="A50" i="1" s="1"/>
  <c r="B50" i="1" s="1"/>
  <c r="H34" i="1"/>
  <c r="A34" i="1" s="1"/>
  <c r="B34" i="1" s="1"/>
  <c r="H18" i="1"/>
  <c r="A18" i="1" s="1"/>
  <c r="B18" i="1" s="1"/>
  <c r="H49" i="1"/>
  <c r="A49" i="1" s="1"/>
  <c r="B49" i="1" s="1"/>
  <c r="H33" i="1"/>
  <c r="A33" i="1" s="1"/>
  <c r="B33" i="1" s="1"/>
  <c r="H17" i="1"/>
  <c r="A17" i="1" s="1"/>
  <c r="B17" i="1" s="1"/>
  <c r="H48" i="1"/>
  <c r="A48" i="1" s="1"/>
  <c r="B48" i="1" s="1"/>
  <c r="H32" i="1"/>
  <c r="A32" i="1" s="1"/>
  <c r="B32" i="1" s="1"/>
  <c r="H16" i="1"/>
  <c r="A16" i="1" s="1"/>
  <c r="B16" i="1" s="1"/>
  <c r="H47" i="1"/>
  <c r="A47" i="1" s="1"/>
  <c r="B47" i="1" s="1"/>
  <c r="H31" i="1"/>
  <c r="A31" i="1" s="1"/>
  <c r="B31" i="1" s="1"/>
  <c r="H15" i="1"/>
  <c r="A15" i="1" s="1"/>
  <c r="B15" i="1" s="1"/>
  <c r="H46" i="1"/>
  <c r="A46" i="1" s="1"/>
  <c r="B46" i="1" s="1"/>
  <c r="H30" i="1"/>
  <c r="A30" i="1" s="1"/>
  <c r="B30" i="1" s="1"/>
  <c r="H14" i="1"/>
  <c r="A14" i="1" s="1"/>
  <c r="B14" i="1" s="1"/>
  <c r="H45" i="1"/>
  <c r="A45" i="1" s="1"/>
  <c r="B45" i="1" s="1"/>
  <c r="H29" i="1"/>
  <c r="A29" i="1" s="1"/>
  <c r="B29" i="1" s="1"/>
  <c r="H13" i="1"/>
  <c r="A13" i="1" s="1"/>
  <c r="B13" i="1" s="1"/>
  <c r="H44" i="1"/>
  <c r="A44" i="1" s="1"/>
  <c r="B44" i="1" s="1"/>
  <c r="H28" i="1"/>
  <c r="A28" i="1" s="1"/>
  <c r="B28" i="1" s="1"/>
  <c r="H12" i="1"/>
  <c r="A12" i="1" s="1"/>
  <c r="B12" i="1" s="1"/>
  <c r="H43" i="1"/>
  <c r="A43" i="1" s="1"/>
  <c r="B43" i="1" s="1"/>
  <c r="H27" i="1"/>
  <c r="A27" i="1" s="1"/>
  <c r="B27" i="1" s="1"/>
  <c r="H11" i="1"/>
  <c r="A11" i="1" s="1"/>
  <c r="B11" i="1" s="1"/>
  <c r="H42" i="1"/>
  <c r="A42" i="1" s="1"/>
  <c r="B42" i="1" s="1"/>
  <c r="H26" i="1"/>
  <c r="A26" i="1" s="1"/>
  <c r="B26" i="1" s="1"/>
  <c r="H10" i="1"/>
  <c r="A10" i="1" s="1"/>
  <c r="B10" i="1" s="1"/>
  <c r="H40" i="1"/>
  <c r="A40" i="1" s="1"/>
  <c r="B40" i="1" s="1"/>
  <c r="H36" i="1"/>
  <c r="A36" i="1" s="1"/>
  <c r="B36" i="1" s="1"/>
  <c r="H20" i="1"/>
  <c r="A20" i="1" s="1"/>
  <c r="B20" i="1" s="1"/>
  <c r="H4" i="1"/>
  <c r="A4" i="1" s="1"/>
  <c r="B4" i="1" s="1"/>
  <c r="H51" i="1"/>
  <c r="A51" i="1" s="1"/>
  <c r="B51" i="1" s="1"/>
  <c r="H35" i="1"/>
  <c r="A35" i="1" s="1"/>
  <c r="B35" i="1" s="1"/>
  <c r="H19" i="1"/>
  <c r="A19" i="1" s="1"/>
  <c r="B19" i="1" s="1"/>
  <c r="H3" i="1"/>
  <c r="A3" i="1" s="1"/>
  <c r="B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<sst xmlns="http://schemas.openxmlformats.org/spreadsheetml/2006/main" count="8" uniqueCount="8">
  <si>
    <t>Inventory_Order_Date</t>
  </si>
  <si>
    <t>Inventory_Update_Date</t>
  </si>
  <si>
    <t>Month</t>
  </si>
  <si>
    <t>Day</t>
  </si>
  <si>
    <t>hour</t>
  </si>
  <si>
    <t>min</t>
  </si>
  <si>
    <t>sec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</si>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</sst>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,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1"/>
  <sheetViews>
    <sheetView tabSelected="1" workbookViewId="0">
      <selection activeCell="B1" sqref="B1"/>
    </sheetView>
  </sheetViews>
  <sheetFormatPr defaultRowHeight="14.5" x14ac:dyDescent="0.35"/>
  <cols>
    <col min="1" max="1" width="19.81640625" style="1" bestFit="1" customWidth="1"/>
    <col min="2" max="2" width="21.08984375" style="1" bestFit="1" customWidth="1"/>
    <col min="6" max="11" width="0" hidden="1" customWidth="1"/>
    <col min="13" max="13" width="33.36328125" customWidth="1"/>
  </cols>
  <sheetData>
    <row r="1" spans="1:11" x14ac:dyDescent="0.35">
      <c r="A1" s="1" t="s">
        <v>0</v>
      </c>
      <c r="B1" s="1" t="s">
        <v>1</v>
      </c>
      <c r="F1" t="s">
        <v>7</v>
      </c>
      <c r="G1" t="s">
        <v>2</v>
      </c>
      <c r="H1" t="s">
        <v>3</v>
      </c>
      <c r="I1" t="s">
        <v>4</v>
      </c>
      <c r="J1" t="s">
        <v>5</v>
      </c>
      <c r="K1" t="s">
        <v>6</v>
      </c>
    </row>
    <row r="2" spans="1:11" x14ac:dyDescent="0.35">
      <c r="A2" s="1">
        <f ca="1">DATE(F2,G2,H2)+TIME(I2,J2,K2)</f>
        <v>46222.459490740737</v>
      </c>
      <c r="B2" s="1">
        <f ca="1">A2+(RANDBETWEEN(0, 2592000) / 86400)</f>
        <v>46228.572465277772</v>
      </c>
      <c r="F2">
        <v>2026</v>
      </c>
      <c r="G2" cm="1">
        <f t="array" aca="1" ref="G2:G51" ca="1">_xlfn.RANDARRAY(50,1,0,12,TRUE)</f>
        <v>7</v>
      </c>
      <c r="H2">
        <f ca="1">RANDBETWEEN(0,DAY(EOMONTH(DATE(YEAR(TODAY()), G2, 1), 0)))</f>
        <v>19</v>
      </c>
      <c r="I2" cm="1">
        <f t="array" aca="1" ref="I2:K51" ca="1">_xlfn.RANDARRAY(50,3,0,60,TRUE)</f>
        <v>11</v>
      </c>
      <c r="J2">
        <f ca="1"/>
        <v>1</v>
      </c>
      <c r="K2">
        <f ca="1"/>
        <v>40</v>
      </c>
    </row>
    <row r="3" spans="1:11" x14ac:dyDescent="0.35">
      <c r="A3" s="1">
        <f t="shared" ref="A3:A51" ca="1" si="0">DATE(F3,G3,H3)+TIME(I3,J3,K3)</f>
        <v>46089.55363425926</v>
      </c>
      <c r="B3" s="1">
        <f t="shared" ref="B3:B51" ca="1" si="1">A3+(RANDBETWEEN(0, 2592000) / 86400)</f>
        <v>46104.784189814818</v>
      </c>
      <c r="F3">
        <v>2026</v>
      </c>
      <c r="G3">
        <f ca="1"/>
        <v>3</v>
      </c>
      <c r="H3">
        <f t="shared" ref="H3:H51" ca="1" si="2">RANDBETWEEN(0,DAY(EOMONTH(DATE(YEAR(TODAY()), G3, 1), 0)))</f>
        <v>8</v>
      </c>
      <c r="I3">
        <f ca="1"/>
        <v>13</v>
      </c>
      <c r="J3">
        <f ca="1"/>
        <v>17</v>
      </c>
      <c r="K3">
        <f ca="1"/>
        <v>14</v>
      </c>
    </row>
    <row r="4" spans="1:11" x14ac:dyDescent="0.35">
      <c r="A4" s="1">
        <f t="shared" ca="1" si="0"/>
        <v>46268.56695601852</v>
      </c>
      <c r="B4" s="1">
        <f t="shared" ca="1" si="1"/>
        <v>46295.336469907408</v>
      </c>
      <c r="F4">
        <v>2026</v>
      </c>
      <c r="G4">
        <f ca="1"/>
        <v>9</v>
      </c>
      <c r="H4">
        <f t="shared" ca="1" si="2"/>
        <v>3</v>
      </c>
      <c r="I4">
        <f ca="1"/>
        <v>37</v>
      </c>
      <c r="J4">
        <f ca="1"/>
        <v>36</v>
      </c>
      <c r="K4">
        <f ca="1"/>
        <v>25</v>
      </c>
    </row>
    <row r="5" spans="1:11" x14ac:dyDescent="0.35">
      <c r="A5" s="1">
        <f t="shared" ca="1" si="0"/>
        <v>46051.493877314817</v>
      </c>
      <c r="B5" s="1">
        <f t="shared" ca="1" si="1"/>
        <v>46070.476423611115</v>
      </c>
      <c r="F5">
        <v>2026</v>
      </c>
      <c r="G5">
        <f ca="1"/>
        <v>1</v>
      </c>
      <c r="H5">
        <f t="shared" ca="1" si="2"/>
        <v>29</v>
      </c>
      <c r="I5">
        <f ca="1"/>
        <v>59</v>
      </c>
      <c r="J5">
        <f ca="1"/>
        <v>51</v>
      </c>
      <c r="K5">
        <f ca="1"/>
        <v>11</v>
      </c>
    </row>
    <row r="6" spans="1:11" x14ac:dyDescent="0.35">
      <c r="A6" s="1">
        <f t="shared" ca="1" si="0"/>
        <v>46140.423275462963</v>
      </c>
      <c r="B6" s="1">
        <f t="shared" ca="1" si="1"/>
        <v>46169.945543981485</v>
      </c>
      <c r="F6">
        <v>2026</v>
      </c>
      <c r="G6">
        <f ca="1"/>
        <v>4</v>
      </c>
      <c r="H6">
        <f t="shared" ca="1" si="2"/>
        <v>28</v>
      </c>
      <c r="I6">
        <f ca="1"/>
        <v>10</v>
      </c>
      <c r="J6">
        <f ca="1"/>
        <v>9</v>
      </c>
      <c r="K6">
        <f ca="1"/>
        <v>31</v>
      </c>
    </row>
    <row r="7" spans="1:11" x14ac:dyDescent="0.35">
      <c r="A7" s="1">
        <f t="shared" ca="1" si="0"/>
        <v>46276.940162037034</v>
      </c>
      <c r="B7" s="1">
        <f t="shared" ca="1" si="1"/>
        <v>46287.153622685182</v>
      </c>
      <c r="F7">
        <v>2026</v>
      </c>
      <c r="G7">
        <f ca="1"/>
        <v>9</v>
      </c>
      <c r="H7">
        <f t="shared" ca="1" si="2"/>
        <v>11</v>
      </c>
      <c r="I7">
        <f ca="1"/>
        <v>46</v>
      </c>
      <c r="J7">
        <f ca="1"/>
        <v>33</v>
      </c>
      <c r="K7">
        <f ca="1"/>
        <v>50</v>
      </c>
    </row>
    <row r="8" spans="1:11" x14ac:dyDescent="0.35">
      <c r="A8" s="1">
        <f t="shared" ca="1" si="0"/>
        <v>46038.440740740742</v>
      </c>
      <c r="B8" s="1">
        <f t="shared" ca="1" si="1"/>
        <v>46061.164270833331</v>
      </c>
      <c r="F8">
        <v>2026</v>
      </c>
      <c r="G8">
        <f ca="1"/>
        <v>1</v>
      </c>
      <c r="H8">
        <f t="shared" ca="1" si="2"/>
        <v>16</v>
      </c>
      <c r="I8">
        <f ca="1"/>
        <v>34</v>
      </c>
      <c r="J8">
        <f ca="1"/>
        <v>34</v>
      </c>
      <c r="K8">
        <f ca="1"/>
        <v>40</v>
      </c>
    </row>
    <row r="9" spans="1:11" x14ac:dyDescent="0.35">
      <c r="A9" s="1">
        <f t="shared" ca="1" si="0"/>
        <v>46089.575069444443</v>
      </c>
      <c r="B9" s="1">
        <f t="shared" ca="1" si="1"/>
        <v>46098.290891203702</v>
      </c>
      <c r="F9">
        <v>2026</v>
      </c>
      <c r="G9">
        <f ca="1"/>
        <v>3</v>
      </c>
      <c r="H9">
        <f t="shared" ca="1" si="2"/>
        <v>8</v>
      </c>
      <c r="I9">
        <f ca="1"/>
        <v>37</v>
      </c>
      <c r="J9">
        <f ca="1"/>
        <v>48</v>
      </c>
      <c r="K9">
        <f ca="1"/>
        <v>6</v>
      </c>
    </row>
    <row r="10" spans="1:11" x14ac:dyDescent="0.35">
      <c r="A10" s="1">
        <f t="shared" ca="1" si="0"/>
        <v>46280.957002314812</v>
      </c>
      <c r="B10" s="1">
        <f t="shared" ca="1" si="1"/>
        <v>46307.011111111111</v>
      </c>
      <c r="F10">
        <v>2026</v>
      </c>
      <c r="G10">
        <f ca="1"/>
        <v>9</v>
      </c>
      <c r="H10">
        <f t="shared" ca="1" si="2"/>
        <v>15</v>
      </c>
      <c r="I10">
        <f ca="1"/>
        <v>22</v>
      </c>
      <c r="J10">
        <f ca="1"/>
        <v>58</v>
      </c>
      <c r="K10">
        <f ca="1"/>
        <v>5</v>
      </c>
    </row>
    <row r="11" spans="1:11" x14ac:dyDescent="0.35">
      <c r="A11" s="1">
        <f t="shared" ca="1" si="0"/>
        <v>46351.221886574072</v>
      </c>
      <c r="B11" s="1">
        <f t="shared" ca="1" si="1"/>
        <v>46365.377013888887</v>
      </c>
      <c r="F11">
        <v>2026</v>
      </c>
      <c r="G11">
        <f ca="1"/>
        <v>11</v>
      </c>
      <c r="H11">
        <f t="shared" ca="1" si="2"/>
        <v>25</v>
      </c>
      <c r="I11">
        <f ca="1"/>
        <v>5</v>
      </c>
      <c r="J11">
        <f ca="1"/>
        <v>19</v>
      </c>
      <c r="K11">
        <f ca="1"/>
        <v>31</v>
      </c>
    </row>
    <row r="12" spans="1:11" x14ac:dyDescent="0.35">
      <c r="A12" s="1">
        <f t="shared" ca="1" si="0"/>
        <v>45993.503518518519</v>
      </c>
      <c r="B12" s="1">
        <f t="shared" ca="1" si="1"/>
        <v>46013.918263888889</v>
      </c>
      <c r="F12">
        <v>2026</v>
      </c>
      <c r="G12">
        <f ca="1"/>
        <v>0</v>
      </c>
      <c r="H12">
        <f t="shared" ca="1" si="2"/>
        <v>2</v>
      </c>
      <c r="I12">
        <f ca="1"/>
        <v>60</v>
      </c>
      <c r="J12">
        <f ca="1"/>
        <v>5</v>
      </c>
      <c r="K12">
        <f ca="1"/>
        <v>4</v>
      </c>
    </row>
    <row r="13" spans="1:11" x14ac:dyDescent="0.35">
      <c r="A13" s="1">
        <f t="shared" ca="1" si="0"/>
        <v>46198.949641203704</v>
      </c>
      <c r="B13" s="1">
        <f t="shared" ca="1" si="1"/>
        <v>46222.320370370369</v>
      </c>
      <c r="F13">
        <v>2026</v>
      </c>
      <c r="G13">
        <f ca="1"/>
        <v>6</v>
      </c>
      <c r="H13">
        <f t="shared" ca="1" si="2"/>
        <v>25</v>
      </c>
      <c r="I13">
        <f ca="1"/>
        <v>46</v>
      </c>
      <c r="J13">
        <f ca="1"/>
        <v>47</v>
      </c>
      <c r="K13">
        <f ca="1"/>
        <v>29</v>
      </c>
    </row>
    <row r="14" spans="1:11" x14ac:dyDescent="0.35">
      <c r="A14" s="1">
        <f t="shared" ca="1" si="0"/>
        <v>46049.678391203706</v>
      </c>
      <c r="B14" s="1">
        <f t="shared" ca="1" si="1"/>
        <v>46074.814155092594</v>
      </c>
      <c r="F14">
        <v>2026</v>
      </c>
      <c r="G14">
        <f ca="1"/>
        <v>1</v>
      </c>
      <c r="H14">
        <f t="shared" ca="1" si="2"/>
        <v>27</v>
      </c>
      <c r="I14">
        <f ca="1"/>
        <v>16</v>
      </c>
      <c r="J14">
        <f ca="1"/>
        <v>16</v>
      </c>
      <c r="K14">
        <f ca="1"/>
        <v>53</v>
      </c>
    </row>
    <row r="15" spans="1:11" x14ac:dyDescent="0.35">
      <c r="A15" s="1">
        <f t="shared" ca="1" si="0"/>
        <v>46276.960092592592</v>
      </c>
      <c r="B15" s="1">
        <f t="shared" ca="1" si="1"/>
        <v>46281.903796296298</v>
      </c>
      <c r="F15">
        <v>2026</v>
      </c>
      <c r="G15">
        <f ca="1"/>
        <v>9</v>
      </c>
      <c r="H15">
        <f t="shared" ca="1" si="2"/>
        <v>11</v>
      </c>
      <c r="I15">
        <f ca="1"/>
        <v>47</v>
      </c>
      <c r="J15">
        <f ca="1"/>
        <v>2</v>
      </c>
      <c r="K15">
        <f ca="1"/>
        <v>32</v>
      </c>
    </row>
    <row r="16" spans="1:11" x14ac:dyDescent="0.35">
      <c r="A16" s="1">
        <f t="shared" ca="1" si="0"/>
        <v>46135.788171296299</v>
      </c>
      <c r="B16" s="1">
        <f t="shared" ca="1" si="1"/>
        <v>46155.324432870373</v>
      </c>
      <c r="F16">
        <v>2026</v>
      </c>
      <c r="G16">
        <f ca="1"/>
        <v>4</v>
      </c>
      <c r="H16">
        <f t="shared" ca="1" si="2"/>
        <v>23</v>
      </c>
      <c r="I16">
        <f ca="1"/>
        <v>42</v>
      </c>
      <c r="J16">
        <f ca="1"/>
        <v>54</v>
      </c>
      <c r="K16">
        <f ca="1"/>
        <v>58</v>
      </c>
    </row>
    <row r="17" spans="1:11" x14ac:dyDescent="0.35">
      <c r="A17" s="1">
        <f t="shared" ca="1" si="0"/>
        <v>46108.943923611114</v>
      </c>
      <c r="B17" s="1">
        <f t="shared" ca="1" si="1"/>
        <v>46109.075868055559</v>
      </c>
      <c r="F17">
        <v>2026</v>
      </c>
      <c r="G17">
        <f ca="1"/>
        <v>3</v>
      </c>
      <c r="H17">
        <f t="shared" ca="1" si="2"/>
        <v>27</v>
      </c>
      <c r="I17">
        <f ca="1"/>
        <v>46</v>
      </c>
      <c r="J17">
        <f ca="1"/>
        <v>39</v>
      </c>
      <c r="K17">
        <f ca="1"/>
        <v>15</v>
      </c>
    </row>
    <row r="18" spans="1:11" x14ac:dyDescent="0.35">
      <c r="A18" s="1">
        <f t="shared" ca="1" si="0"/>
        <v>46189.348449074074</v>
      </c>
      <c r="B18" s="1">
        <f t="shared" ca="1" si="1"/>
        <v>46219.231319444443</v>
      </c>
      <c r="F18">
        <v>2026</v>
      </c>
      <c r="G18">
        <f ca="1"/>
        <v>6</v>
      </c>
      <c r="H18">
        <f t="shared" ca="1" si="2"/>
        <v>16</v>
      </c>
      <c r="I18">
        <f ca="1"/>
        <v>32</v>
      </c>
      <c r="J18">
        <f ca="1"/>
        <v>21</v>
      </c>
      <c r="K18">
        <f ca="1"/>
        <v>46</v>
      </c>
    </row>
    <row r="19" spans="1:11" x14ac:dyDescent="0.35">
      <c r="A19" s="1">
        <f t="shared" ca="1" si="0"/>
        <v>46173.499976851854</v>
      </c>
      <c r="B19" s="1">
        <f t="shared" ca="1" si="1"/>
        <v>46197.15048611111</v>
      </c>
      <c r="F19">
        <v>2026</v>
      </c>
      <c r="G19">
        <f ca="1"/>
        <v>6</v>
      </c>
      <c r="H19">
        <f t="shared" ca="1" si="2"/>
        <v>0</v>
      </c>
      <c r="I19">
        <f ca="1"/>
        <v>59</v>
      </c>
      <c r="J19">
        <f ca="1"/>
        <v>59</v>
      </c>
      <c r="K19">
        <f ca="1"/>
        <v>58</v>
      </c>
    </row>
    <row r="20" spans="1:11" x14ac:dyDescent="0.35">
      <c r="A20" s="1">
        <f t="shared" ca="1" si="0"/>
        <v>46249.033993055556</v>
      </c>
      <c r="B20" s="1">
        <f t="shared" ca="1" si="1"/>
        <v>46259.773194444446</v>
      </c>
      <c r="F20">
        <v>2026</v>
      </c>
      <c r="G20">
        <f ca="1"/>
        <v>8</v>
      </c>
      <c r="H20">
        <f t="shared" ca="1" si="2"/>
        <v>15</v>
      </c>
      <c r="I20">
        <f ca="1"/>
        <v>48</v>
      </c>
      <c r="J20">
        <f ca="1"/>
        <v>48</v>
      </c>
      <c r="K20">
        <f ca="1"/>
        <v>57</v>
      </c>
    </row>
    <row r="21" spans="1:11" x14ac:dyDescent="0.35">
      <c r="A21" s="1">
        <f t="shared" ca="1" si="0"/>
        <v>46272.932476851849</v>
      </c>
      <c r="B21" s="1">
        <f t="shared" ca="1" si="1"/>
        <v>46293.141597222217</v>
      </c>
      <c r="F21">
        <v>2026</v>
      </c>
      <c r="G21">
        <f ca="1"/>
        <v>9</v>
      </c>
      <c r="H21">
        <f t="shared" ca="1" si="2"/>
        <v>7</v>
      </c>
      <c r="I21">
        <f ca="1"/>
        <v>46</v>
      </c>
      <c r="J21">
        <f ca="1"/>
        <v>22</v>
      </c>
      <c r="K21">
        <f ca="1"/>
        <v>46</v>
      </c>
    </row>
    <row r="22" spans="1:11" x14ac:dyDescent="0.35">
      <c r="A22" s="1">
        <f t="shared" ca="1" si="0"/>
        <v>46109.394606481481</v>
      </c>
      <c r="B22" s="1">
        <f t="shared" ca="1" si="1"/>
        <v>46129.027766203704</v>
      </c>
      <c r="F22">
        <v>2026</v>
      </c>
      <c r="G22">
        <f ca="1"/>
        <v>3</v>
      </c>
      <c r="H22">
        <f t="shared" ca="1" si="2"/>
        <v>28</v>
      </c>
      <c r="I22">
        <f ca="1"/>
        <v>9</v>
      </c>
      <c r="J22">
        <f ca="1"/>
        <v>28</v>
      </c>
      <c r="K22">
        <f ca="1"/>
        <v>14</v>
      </c>
    </row>
    <row r="23" spans="1:11" x14ac:dyDescent="0.35">
      <c r="A23" s="1">
        <f t="shared" ca="1" si="0"/>
        <v>46202.350185185183</v>
      </c>
      <c r="B23" s="1">
        <f t="shared" ca="1" si="1"/>
        <v>46217.411666666667</v>
      </c>
      <c r="F23">
        <v>2026</v>
      </c>
      <c r="G23">
        <f ca="1"/>
        <v>6</v>
      </c>
      <c r="H23">
        <f t="shared" ca="1" si="2"/>
        <v>29</v>
      </c>
      <c r="I23">
        <f ca="1"/>
        <v>8</v>
      </c>
      <c r="J23">
        <f ca="1"/>
        <v>24</v>
      </c>
      <c r="K23">
        <f ca="1"/>
        <v>16</v>
      </c>
    </row>
    <row r="24" spans="1:11" x14ac:dyDescent="0.35">
      <c r="A24" s="1">
        <f t="shared" ca="1" si="0"/>
        <v>46188.451249999998</v>
      </c>
      <c r="B24" s="1">
        <f t="shared" ca="1" si="1"/>
        <v>46195.336180555554</v>
      </c>
      <c r="F24">
        <v>2026</v>
      </c>
      <c r="G24">
        <f ca="1"/>
        <v>6</v>
      </c>
      <c r="H24">
        <f t="shared" ca="1" si="2"/>
        <v>15</v>
      </c>
      <c r="I24">
        <f ca="1"/>
        <v>58</v>
      </c>
      <c r="J24">
        <f ca="1"/>
        <v>49</v>
      </c>
      <c r="K24">
        <f ca="1"/>
        <v>48</v>
      </c>
    </row>
    <row r="25" spans="1:11" x14ac:dyDescent="0.35">
      <c r="A25" s="1">
        <f t="shared" ca="1" si="0"/>
        <v>46360.399710648147</v>
      </c>
      <c r="B25" s="1">
        <f t="shared" ca="1" si="1"/>
        <v>46366.511597222219</v>
      </c>
      <c r="F25">
        <v>2026</v>
      </c>
      <c r="G25">
        <f ca="1"/>
        <v>12</v>
      </c>
      <c r="H25">
        <f t="shared" ca="1" si="2"/>
        <v>4</v>
      </c>
      <c r="I25">
        <f ca="1"/>
        <v>57</v>
      </c>
      <c r="J25">
        <f ca="1"/>
        <v>35</v>
      </c>
      <c r="K25">
        <f ca="1"/>
        <v>35</v>
      </c>
    </row>
    <row r="26" spans="1:11" x14ac:dyDescent="0.35">
      <c r="A26" s="1">
        <f t="shared" ca="1" si="0"/>
        <v>46322.000023148146</v>
      </c>
      <c r="B26" s="1">
        <f t="shared" ca="1" si="1"/>
        <v>46336.199502314812</v>
      </c>
      <c r="F26">
        <v>2026</v>
      </c>
      <c r="G26">
        <f ca="1"/>
        <v>10</v>
      </c>
      <c r="H26">
        <f t="shared" ca="1" si="2"/>
        <v>27</v>
      </c>
      <c r="I26">
        <f ca="1"/>
        <v>24</v>
      </c>
      <c r="J26">
        <f ca="1"/>
        <v>0</v>
      </c>
      <c r="K26">
        <f ca="1"/>
        <v>2</v>
      </c>
    </row>
    <row r="27" spans="1:11" x14ac:dyDescent="0.35">
      <c r="A27" s="1">
        <f t="shared" ca="1" si="0"/>
        <v>46122.447731481479</v>
      </c>
      <c r="B27" s="1">
        <f t="shared" ca="1" si="1"/>
        <v>46143.273368055554</v>
      </c>
      <c r="F27">
        <v>2026</v>
      </c>
      <c r="G27">
        <f ca="1"/>
        <v>4</v>
      </c>
      <c r="H27">
        <f t="shared" ca="1" si="2"/>
        <v>10</v>
      </c>
      <c r="I27">
        <f ca="1"/>
        <v>58</v>
      </c>
      <c r="J27">
        <f ca="1"/>
        <v>44</v>
      </c>
      <c r="K27">
        <f ca="1"/>
        <v>44</v>
      </c>
    </row>
    <row r="28" spans="1:11" x14ac:dyDescent="0.35">
      <c r="A28" s="1">
        <f t="shared" ca="1" si="0"/>
        <v>46369.564942129633</v>
      </c>
      <c r="B28" s="1">
        <f t="shared" ca="1" si="1"/>
        <v>46398.937337962969</v>
      </c>
      <c r="F28">
        <v>2026</v>
      </c>
      <c r="G28">
        <f ca="1"/>
        <v>12</v>
      </c>
      <c r="H28">
        <f t="shared" ca="1" si="2"/>
        <v>13</v>
      </c>
      <c r="I28">
        <f ca="1"/>
        <v>13</v>
      </c>
      <c r="J28">
        <f ca="1"/>
        <v>33</v>
      </c>
      <c r="K28">
        <f ca="1"/>
        <v>31</v>
      </c>
    </row>
    <row r="29" spans="1:11" x14ac:dyDescent="0.35">
      <c r="A29" s="1">
        <f t="shared" ca="1" si="0"/>
        <v>46168.317824074074</v>
      </c>
      <c r="B29" s="1">
        <f t="shared" ca="1" si="1"/>
        <v>46194.463750000003</v>
      </c>
      <c r="F29">
        <v>2026</v>
      </c>
      <c r="G29">
        <f ca="1"/>
        <v>5</v>
      </c>
      <c r="H29">
        <f t="shared" ca="1" si="2"/>
        <v>26</v>
      </c>
      <c r="I29">
        <f ca="1"/>
        <v>7</v>
      </c>
      <c r="J29">
        <f ca="1"/>
        <v>37</v>
      </c>
      <c r="K29">
        <f ca="1"/>
        <v>40</v>
      </c>
    </row>
    <row r="30" spans="1:11" x14ac:dyDescent="0.35">
      <c r="A30" s="1">
        <f t="shared" ca="1" si="0"/>
        <v>46040.711527777778</v>
      </c>
      <c r="B30" s="1">
        <f t="shared" ca="1" si="1"/>
        <v>46060.775925925926</v>
      </c>
      <c r="F30">
        <v>2026</v>
      </c>
      <c r="G30">
        <f ca="1"/>
        <v>1</v>
      </c>
      <c r="H30">
        <f t="shared" ca="1" si="2"/>
        <v>18</v>
      </c>
      <c r="I30">
        <f ca="1"/>
        <v>17</v>
      </c>
      <c r="J30">
        <f ca="1"/>
        <v>4</v>
      </c>
      <c r="K30">
        <f ca="1"/>
        <v>36</v>
      </c>
    </row>
    <row r="31" spans="1:11" x14ac:dyDescent="0.35">
      <c r="A31" s="1">
        <f t="shared" ca="1" si="0"/>
        <v>46269.294583333336</v>
      </c>
      <c r="B31" s="1">
        <f t="shared" ca="1" si="1"/>
        <v>46295.152905092596</v>
      </c>
      <c r="F31">
        <v>2026</v>
      </c>
      <c r="G31">
        <f ca="1"/>
        <v>9</v>
      </c>
      <c r="H31">
        <f t="shared" ca="1" si="2"/>
        <v>4</v>
      </c>
      <c r="I31">
        <f ca="1"/>
        <v>7</v>
      </c>
      <c r="J31">
        <f ca="1"/>
        <v>4</v>
      </c>
      <c r="K31">
        <f ca="1"/>
        <v>12</v>
      </c>
    </row>
    <row r="32" spans="1:11" x14ac:dyDescent="0.35">
      <c r="A32" s="1">
        <f t="shared" ca="1" si="0"/>
        <v>46334.012511574074</v>
      </c>
      <c r="B32" s="1">
        <f t="shared" ca="1" si="1"/>
        <v>46336.850393518522</v>
      </c>
      <c r="F32">
        <v>2026</v>
      </c>
      <c r="G32">
        <f ca="1"/>
        <v>11</v>
      </c>
      <c r="H32">
        <f t="shared" ca="1" si="2"/>
        <v>8</v>
      </c>
      <c r="I32">
        <f ca="1"/>
        <v>24</v>
      </c>
      <c r="J32">
        <f ca="1"/>
        <v>18</v>
      </c>
      <c r="K32">
        <f ca="1"/>
        <v>1</v>
      </c>
    </row>
    <row r="33" spans="1:11" x14ac:dyDescent="0.35">
      <c r="A33" s="1">
        <f t="shared" ca="1" si="0"/>
        <v>46111.75</v>
      </c>
      <c r="B33" s="1">
        <f t="shared" ca="1" si="1"/>
        <v>46125.420567129629</v>
      </c>
      <c r="F33">
        <v>2026</v>
      </c>
      <c r="G33">
        <f ca="1"/>
        <v>3</v>
      </c>
      <c r="H33">
        <f t="shared" ca="1" si="2"/>
        <v>30</v>
      </c>
      <c r="I33">
        <f ca="1"/>
        <v>41</v>
      </c>
      <c r="J33">
        <f ca="1"/>
        <v>60</v>
      </c>
      <c r="K33">
        <f ca="1"/>
        <v>0</v>
      </c>
    </row>
    <row r="34" spans="1:11" x14ac:dyDescent="0.35">
      <c r="A34" s="1">
        <f t="shared" ca="1" si="0"/>
        <v>46152.80059027778</v>
      </c>
      <c r="B34" s="1">
        <f t="shared" ca="1" si="1"/>
        <v>46160.566157407411</v>
      </c>
      <c r="F34">
        <v>2026</v>
      </c>
      <c r="G34">
        <f ca="1"/>
        <v>5</v>
      </c>
      <c r="H34">
        <f t="shared" ca="1" si="2"/>
        <v>10</v>
      </c>
      <c r="I34">
        <f ca="1"/>
        <v>43</v>
      </c>
      <c r="J34">
        <f ca="1"/>
        <v>12</v>
      </c>
      <c r="K34">
        <f ca="1"/>
        <v>51</v>
      </c>
    </row>
    <row r="35" spans="1:11" x14ac:dyDescent="0.35">
      <c r="A35" s="1">
        <f t="shared" ca="1" si="0"/>
        <v>46151.203564814816</v>
      </c>
      <c r="B35" s="1">
        <f t="shared" ca="1" si="1"/>
        <v>46177.701666666668</v>
      </c>
      <c r="F35">
        <v>2026</v>
      </c>
      <c r="G35">
        <f ca="1"/>
        <v>5</v>
      </c>
      <c r="H35">
        <f t="shared" ca="1" si="2"/>
        <v>9</v>
      </c>
      <c r="I35">
        <f ca="1"/>
        <v>28</v>
      </c>
      <c r="J35">
        <f ca="1"/>
        <v>53</v>
      </c>
      <c r="K35">
        <f ca="1"/>
        <v>8</v>
      </c>
    </row>
    <row r="36" spans="1:11" x14ac:dyDescent="0.35">
      <c r="A36" s="1">
        <f t="shared" ca="1" si="0"/>
        <v>46195.292175925926</v>
      </c>
      <c r="B36" s="1">
        <f t="shared" ca="1" si="1"/>
        <v>46202.735092592593</v>
      </c>
      <c r="F36">
        <v>2026</v>
      </c>
      <c r="G36">
        <f ca="1"/>
        <v>6</v>
      </c>
      <c r="H36">
        <f t="shared" ca="1" si="2"/>
        <v>22</v>
      </c>
      <c r="I36">
        <f ca="1"/>
        <v>30</v>
      </c>
      <c r="J36">
        <f ca="1"/>
        <v>60</v>
      </c>
      <c r="K36">
        <f ca="1"/>
        <v>44</v>
      </c>
    </row>
    <row r="37" spans="1:11" x14ac:dyDescent="0.35">
      <c r="A37" s="1">
        <f t="shared" ca="1" si="0"/>
        <v>46037.825856481482</v>
      </c>
      <c r="B37" s="1">
        <f t="shared" ca="1" si="1"/>
        <v>46064.704351851855</v>
      </c>
      <c r="F37">
        <v>2026</v>
      </c>
      <c r="G37">
        <f ca="1"/>
        <v>1</v>
      </c>
      <c r="H37">
        <f t="shared" ca="1" si="2"/>
        <v>15</v>
      </c>
      <c r="I37">
        <f ca="1"/>
        <v>19</v>
      </c>
      <c r="J37">
        <f ca="1"/>
        <v>49</v>
      </c>
      <c r="K37">
        <f ca="1"/>
        <v>14</v>
      </c>
    </row>
    <row r="38" spans="1:11" x14ac:dyDescent="0.35">
      <c r="A38" s="1">
        <f t="shared" ca="1" si="0"/>
        <v>46012.017314814817</v>
      </c>
      <c r="B38" s="1">
        <f t="shared" ca="1" si="1"/>
        <v>46018.394224537042</v>
      </c>
      <c r="F38">
        <v>2026</v>
      </c>
      <c r="G38">
        <f ca="1"/>
        <v>0</v>
      </c>
      <c r="H38">
        <f t="shared" ca="1" si="2"/>
        <v>21</v>
      </c>
      <c r="I38">
        <f ca="1"/>
        <v>24</v>
      </c>
      <c r="J38">
        <f ca="1"/>
        <v>24</v>
      </c>
      <c r="K38">
        <f ca="1"/>
        <v>56</v>
      </c>
    </row>
    <row r="39" spans="1:11" x14ac:dyDescent="0.35">
      <c r="A39" s="1">
        <f t="shared" ca="1" si="0"/>
        <v>46325.37090277778</v>
      </c>
      <c r="B39" s="1">
        <f t="shared" ca="1" si="1"/>
        <v>46329.722731481481</v>
      </c>
      <c r="F39">
        <v>2026</v>
      </c>
      <c r="G39">
        <f ca="1"/>
        <v>10</v>
      </c>
      <c r="H39">
        <f t="shared" ca="1" si="2"/>
        <v>30</v>
      </c>
      <c r="I39">
        <f ca="1"/>
        <v>8</v>
      </c>
      <c r="J39">
        <f ca="1"/>
        <v>54</v>
      </c>
      <c r="K39">
        <f ca="1"/>
        <v>6</v>
      </c>
    </row>
    <row r="40" spans="1:11" x14ac:dyDescent="0.35">
      <c r="A40" s="1">
        <f t="shared" ca="1" si="0"/>
        <v>46295.332187499997</v>
      </c>
      <c r="B40" s="1">
        <f t="shared" ca="1" si="1"/>
        <v>46307.772164351845</v>
      </c>
      <c r="F40">
        <v>2026</v>
      </c>
      <c r="G40">
        <f ca="1"/>
        <v>10</v>
      </c>
      <c r="H40">
        <f t="shared" ca="1" si="2"/>
        <v>0</v>
      </c>
      <c r="I40">
        <f ca="1"/>
        <v>31</v>
      </c>
      <c r="J40">
        <f ca="1"/>
        <v>58</v>
      </c>
      <c r="K40">
        <f ca="1"/>
        <v>21</v>
      </c>
    </row>
    <row r="41" spans="1:11" x14ac:dyDescent="0.35">
      <c r="A41" s="1">
        <f t="shared" ca="1" si="0"/>
        <v>46365.305138888885</v>
      </c>
      <c r="B41" s="1">
        <f t="shared" ca="1" si="1"/>
        <v>46365.902997685182</v>
      </c>
      <c r="F41">
        <v>2026</v>
      </c>
      <c r="G41">
        <f ca="1"/>
        <v>12</v>
      </c>
      <c r="H41">
        <f t="shared" ca="1" si="2"/>
        <v>9</v>
      </c>
      <c r="I41">
        <f ca="1"/>
        <v>7</v>
      </c>
      <c r="J41">
        <f ca="1"/>
        <v>19</v>
      </c>
      <c r="K41">
        <f ca="1"/>
        <v>24</v>
      </c>
    </row>
    <row r="42" spans="1:11" x14ac:dyDescent="0.35">
      <c r="A42" s="1">
        <f t="shared" ca="1" si="0"/>
        <v>46026.125405092593</v>
      </c>
      <c r="B42" s="1">
        <f t="shared" ca="1" si="1"/>
        <v>46030.689745370371</v>
      </c>
      <c r="F42">
        <v>2026</v>
      </c>
      <c r="G42">
        <f ca="1"/>
        <v>1</v>
      </c>
      <c r="H42">
        <f t="shared" ca="1" si="2"/>
        <v>4</v>
      </c>
      <c r="I42">
        <f ca="1"/>
        <v>27</v>
      </c>
      <c r="J42">
        <f ca="1"/>
        <v>0</v>
      </c>
      <c r="K42">
        <f ca="1"/>
        <v>35</v>
      </c>
    </row>
    <row r="43" spans="1:11" x14ac:dyDescent="0.35">
      <c r="A43" s="1">
        <f t="shared" ca="1" si="0"/>
        <v>46103.741666666669</v>
      </c>
      <c r="B43" s="1">
        <f t="shared" ca="1" si="1"/>
        <v>46127.279780092591</v>
      </c>
      <c r="F43">
        <v>2026</v>
      </c>
      <c r="G43">
        <f ca="1"/>
        <v>3</v>
      </c>
      <c r="H43">
        <f t="shared" ca="1" si="2"/>
        <v>22</v>
      </c>
      <c r="I43">
        <f ca="1"/>
        <v>41</v>
      </c>
      <c r="J43">
        <f ca="1"/>
        <v>48</v>
      </c>
      <c r="K43">
        <f ca="1"/>
        <v>0</v>
      </c>
    </row>
    <row r="44" spans="1:11" x14ac:dyDescent="0.35">
      <c r="A44" s="1">
        <f t="shared" ca="1" si="0"/>
        <v>46323.830752314818</v>
      </c>
      <c r="B44" s="1">
        <f t="shared" ca="1" si="1"/>
        <v>46326.402557870373</v>
      </c>
      <c r="F44">
        <v>2026</v>
      </c>
      <c r="G44">
        <f ca="1"/>
        <v>10</v>
      </c>
      <c r="H44">
        <f t="shared" ca="1" si="2"/>
        <v>28</v>
      </c>
      <c r="I44">
        <f ca="1"/>
        <v>43</v>
      </c>
      <c r="J44">
        <f ca="1"/>
        <v>56</v>
      </c>
      <c r="K44">
        <f ca="1"/>
        <v>17</v>
      </c>
    </row>
    <row r="45" spans="1:11" x14ac:dyDescent="0.35">
      <c r="A45" s="1">
        <f t="shared" ca="1" si="0"/>
        <v>46091.102407407408</v>
      </c>
      <c r="B45" s="1">
        <f t="shared" ca="1" si="1"/>
        <v>46120.618703703702</v>
      </c>
      <c r="F45">
        <v>2026</v>
      </c>
      <c r="G45">
        <f ca="1"/>
        <v>3</v>
      </c>
      <c r="H45">
        <f t="shared" ca="1" si="2"/>
        <v>10</v>
      </c>
      <c r="I45">
        <f ca="1"/>
        <v>26</v>
      </c>
      <c r="J45">
        <f ca="1"/>
        <v>27</v>
      </c>
      <c r="K45">
        <f ca="1"/>
        <v>28</v>
      </c>
    </row>
    <row r="46" spans="1:11" x14ac:dyDescent="0.35">
      <c r="A46" s="1">
        <f t="shared" ca="1" si="0"/>
        <v>46368.457141203704</v>
      </c>
      <c r="B46" s="1">
        <f t="shared" ca="1" si="1"/>
        <v>46381.956134259257</v>
      </c>
      <c r="F46">
        <v>2026</v>
      </c>
      <c r="G46">
        <f ca="1"/>
        <v>12</v>
      </c>
      <c r="H46">
        <f t="shared" ca="1" si="2"/>
        <v>12</v>
      </c>
      <c r="I46">
        <f ca="1"/>
        <v>10</v>
      </c>
      <c r="J46">
        <f ca="1"/>
        <v>58</v>
      </c>
      <c r="K46">
        <f ca="1"/>
        <v>17</v>
      </c>
    </row>
    <row r="47" spans="1:11" x14ac:dyDescent="0.35">
      <c r="A47" s="1">
        <f t="shared" ca="1" si="0"/>
        <v>46274.294629629629</v>
      </c>
      <c r="B47" s="1">
        <f t="shared" ca="1" si="1"/>
        <v>46274.685370370367</v>
      </c>
      <c r="F47">
        <v>2026</v>
      </c>
      <c r="G47">
        <f ca="1"/>
        <v>9</v>
      </c>
      <c r="H47">
        <f t="shared" ca="1" si="2"/>
        <v>9</v>
      </c>
      <c r="I47">
        <f ca="1"/>
        <v>7</v>
      </c>
      <c r="J47">
        <f ca="1"/>
        <v>4</v>
      </c>
      <c r="K47">
        <f ca="1"/>
        <v>16</v>
      </c>
    </row>
    <row r="48" spans="1:11" x14ac:dyDescent="0.35">
      <c r="A48" s="1">
        <f t="shared" ca="1" si="0"/>
        <v>46222.84946759259</v>
      </c>
      <c r="B48" s="1">
        <f t="shared" ca="1" si="1"/>
        <v>46251.940648148149</v>
      </c>
      <c r="F48">
        <v>2026</v>
      </c>
      <c r="G48">
        <f ca="1"/>
        <v>7</v>
      </c>
      <c r="H48">
        <f t="shared" ca="1" si="2"/>
        <v>19</v>
      </c>
      <c r="I48">
        <f ca="1"/>
        <v>20</v>
      </c>
      <c r="J48">
        <f ca="1"/>
        <v>23</v>
      </c>
      <c r="K48">
        <f ca="1"/>
        <v>14</v>
      </c>
    </row>
    <row r="49" spans="1:11" x14ac:dyDescent="0.35">
      <c r="A49" s="1">
        <f t="shared" ca="1" si="0"/>
        <v>46167.274259259262</v>
      </c>
      <c r="B49" s="1">
        <f t="shared" ca="1" si="1"/>
        <v>46187.545856481483</v>
      </c>
      <c r="F49">
        <v>2026</v>
      </c>
      <c r="G49">
        <f ca="1"/>
        <v>5</v>
      </c>
      <c r="H49">
        <f t="shared" ca="1" si="2"/>
        <v>25</v>
      </c>
      <c r="I49">
        <f ca="1"/>
        <v>54</v>
      </c>
      <c r="J49">
        <f ca="1"/>
        <v>34</v>
      </c>
      <c r="K49">
        <f ca="1"/>
        <v>56</v>
      </c>
    </row>
    <row r="50" spans="1:11" x14ac:dyDescent="0.35">
      <c r="A50" s="1">
        <f t="shared" ca="1" si="0"/>
        <v>46103.411851851852</v>
      </c>
      <c r="B50" s="1">
        <f t="shared" ca="1" si="1"/>
        <v>46115.781840277778</v>
      </c>
      <c r="F50">
        <v>2026</v>
      </c>
      <c r="G50">
        <f ca="1"/>
        <v>3</v>
      </c>
      <c r="H50">
        <f t="shared" ca="1" si="2"/>
        <v>22</v>
      </c>
      <c r="I50">
        <f ca="1"/>
        <v>33</v>
      </c>
      <c r="J50">
        <f ca="1"/>
        <v>53</v>
      </c>
      <c r="K50">
        <f ca="1"/>
        <v>4</v>
      </c>
    </row>
    <row r="51" spans="1:11" x14ac:dyDescent="0.35">
      <c r="A51" s="1">
        <f t="shared" ca="1" si="0"/>
        <v>46383.020439814813</v>
      </c>
      <c r="B51" s="1">
        <f t="shared" ca="1" si="1"/>
        <v>46401.29106481481</v>
      </c>
      <c r="F51">
        <v>2026</v>
      </c>
      <c r="G51">
        <f ca="1"/>
        <v>12</v>
      </c>
      <c r="H51">
        <f t="shared" ca="1" si="2"/>
        <v>27</v>
      </c>
      <c r="I51">
        <f ca="1"/>
        <v>0</v>
      </c>
      <c r="J51">
        <f ca="1"/>
        <v>29</v>
      </c>
      <c r="K51">
        <f ca="1"/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Riaan Coetzee</cp:lastModifiedBy>
  <dcterms:created xsi:type="dcterms:W3CDTF">2015-06-05T18:17:20Z</dcterms:created>
  <dcterms:modified xsi:type="dcterms:W3CDTF">2026-09-29T05:50:07Z</dcterms:modified>
</cp:coreProperties>
</file>